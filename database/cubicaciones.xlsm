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gjordan.SPOERERnet\source\repos\coderhouse-javascript\database\"/>
    </mc:Choice>
  </mc:AlternateContent>
  <xr:revisionPtr revIDLastSave="0" documentId="13_ncr:1_{6A315815-F740-4988-89FC-40AD96764748}" xr6:coauthVersionLast="47" xr6:coauthVersionMax="47" xr10:uidLastSave="{00000000-0000-0000-0000-000000000000}"/>
  <bookViews>
    <workbookView xWindow="28680" yWindow="-120" windowWidth="29040" windowHeight="15720" xr2:uid="{F7D7EDFC-5620-4AEC-941F-DB17777281DF}"/>
  </bookViews>
  <sheets>
    <sheet name="Informacion" sheetId="3" r:id="rId1"/>
    <sheet name="HA" sheetId="4" r:id="rId2"/>
    <sheet name="Fe" sheetId="5" r:id="rId3"/>
    <sheet name="MLD" sheetId="6" r:id="rId4"/>
    <sheet name="Losas" sheetId="2" r:id="rId5"/>
    <sheet name="Rangos" sheetId="7" r:id="rId6"/>
    <sheet name="Análisis" sheetId="8" r:id="rId7"/>
  </sheets>
  <definedNames>
    <definedName name="_xlnm._FilterDatabase" localSheetId="1" hidden="1">HA!$A$1:$U$85</definedName>
    <definedName name="_xlnm._FilterDatabase" localSheetId="4" hidden="1">Losas!$A$2:$Y$2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85" i="6" l="1" a="1"/>
  <c r="B85" i="6" s="1"/>
  <c r="C85" i="6" a="1"/>
  <c r="C85" i="6" s="1"/>
  <c r="D85" i="6" a="1"/>
  <c r="D85" i="6" s="1"/>
  <c r="E85" i="6" a="1"/>
  <c r="E85" i="6" s="1"/>
  <c r="F85" i="6" a="1"/>
  <c r="F85" i="6" s="1"/>
  <c r="G85" i="6" a="1"/>
  <c r="G85" i="6" s="1"/>
  <c r="H85" i="6" a="1"/>
  <c r="H85" i="6" s="1"/>
  <c r="I85" i="6" a="1"/>
  <c r="I85" i="6" s="1"/>
  <c r="B85" i="5" a="1"/>
  <c r="B85" i="5" s="1"/>
  <c r="C85" i="5" a="1"/>
  <c r="C85" i="5" s="1"/>
  <c r="D85" i="5" a="1"/>
  <c r="D85" i="5" s="1"/>
  <c r="E85" i="5" a="1"/>
  <c r="E85" i="5" s="1"/>
  <c r="F85" i="5" a="1"/>
  <c r="F85" i="5" s="1"/>
  <c r="G85" i="5" a="1"/>
  <c r="G85" i="5" s="1"/>
  <c r="H85" i="5" a="1"/>
  <c r="H85" i="5" s="1"/>
  <c r="I85" i="5" a="1"/>
  <c r="I85" i="5" s="1"/>
  <c r="U85" i="5"/>
  <c r="M85" i="3" s="1"/>
  <c r="B85" i="4" a="1"/>
  <c r="B85" i="4" s="1"/>
  <c r="C85" i="4" a="1"/>
  <c r="C85" i="4" s="1"/>
  <c r="D85" i="4" a="1"/>
  <c r="D85" i="4" s="1"/>
  <c r="E85" i="4" a="1"/>
  <c r="E85" i="4" s="1"/>
  <c r="F85" i="4" a="1"/>
  <c r="F85" i="4" s="1"/>
  <c r="G85" i="4" a="1"/>
  <c r="G85" i="4" s="1"/>
  <c r="H85" i="4" a="1"/>
  <c r="H85" i="4" s="1"/>
  <c r="I85" i="4" a="1"/>
  <c r="I85" i="4" s="1"/>
  <c r="N85" i="3"/>
  <c r="R85" i="3" s="1"/>
  <c r="O85" i="3"/>
  <c r="T85" i="3" s="1"/>
  <c r="U85" i="3"/>
  <c r="V85" i="3"/>
  <c r="W85" i="3"/>
  <c r="X85" i="3"/>
  <c r="Y85" i="3"/>
  <c r="Z85" i="3"/>
  <c r="AK85" i="3"/>
  <c r="AL85" i="3"/>
  <c r="AM85" i="3"/>
  <c r="AN85" i="3"/>
  <c r="AO85" i="3"/>
  <c r="AP85" i="3"/>
  <c r="AQ85" i="3"/>
  <c r="AR85" i="3"/>
  <c r="B84" i="6" a="1"/>
  <c r="B84" i="6" s="1"/>
  <c r="C84" i="6" a="1"/>
  <c r="C84" i="6" s="1"/>
  <c r="D84" i="6" a="1"/>
  <c r="D84" i="6" s="1"/>
  <c r="E84" i="6" a="1"/>
  <c r="E84" i="6" s="1"/>
  <c r="F84" i="6" a="1"/>
  <c r="F84" i="6" s="1"/>
  <c r="G84" i="6" a="1"/>
  <c r="G84" i="6" s="1"/>
  <c r="H84" i="6" a="1"/>
  <c r="H84" i="6" s="1"/>
  <c r="I84" i="6" a="1"/>
  <c r="I84" i="6" s="1"/>
  <c r="B84" i="5" a="1"/>
  <c r="B84" i="5" s="1"/>
  <c r="C84" i="5" a="1"/>
  <c r="C84" i="5" s="1"/>
  <c r="D84" i="5" a="1"/>
  <c r="D84" i="5" s="1"/>
  <c r="E84" i="5" a="1"/>
  <c r="E84" i="5" s="1"/>
  <c r="F84" i="5" a="1"/>
  <c r="F84" i="5" s="1"/>
  <c r="G84" i="5" a="1"/>
  <c r="G84" i="5" s="1"/>
  <c r="H84" i="5" a="1"/>
  <c r="H84" i="5" s="1"/>
  <c r="I84" i="5" a="1"/>
  <c r="I84" i="5" s="1"/>
  <c r="U84" i="5"/>
  <c r="B84" i="4" a="1"/>
  <c r="B84" i="4" s="1"/>
  <c r="C84" i="4" a="1"/>
  <c r="C84" i="4" s="1"/>
  <c r="D84" i="4" a="1"/>
  <c r="D84" i="4" s="1"/>
  <c r="E84" i="4" a="1"/>
  <c r="E84" i="4" s="1"/>
  <c r="F84" i="4" a="1"/>
  <c r="F84" i="4" s="1"/>
  <c r="G84" i="4" a="1"/>
  <c r="G84" i="4" s="1"/>
  <c r="H84" i="4" a="1"/>
  <c r="H84" i="4" s="1"/>
  <c r="I84" i="4" a="1"/>
  <c r="I84" i="4" s="1"/>
  <c r="V85" i="5" l="1"/>
  <c r="AA85" i="3" s="1"/>
  <c r="W85" i="5"/>
  <c r="AB85" i="3" s="1"/>
  <c r="X85" i="5"/>
  <c r="AC85" i="3" s="1"/>
  <c r="Y85" i="5"/>
  <c r="AD85" i="3" s="1"/>
  <c r="AA85" i="5"/>
  <c r="Z85" i="5"/>
  <c r="AE85" i="3" s="1"/>
  <c r="X85" i="4"/>
  <c r="AG85" i="3" s="1"/>
  <c r="Y85" i="4"/>
  <c r="AH85" i="3" s="1"/>
  <c r="Z85" i="4"/>
  <c r="AI85" i="3" s="1"/>
  <c r="AA85" i="4"/>
  <c r="AJ85" i="3" s="1"/>
  <c r="AB85" i="4"/>
  <c r="V85" i="4"/>
  <c r="AF85" i="3" s="1"/>
  <c r="W85" i="4"/>
  <c r="P85" i="3"/>
  <c r="S85" i="3"/>
  <c r="Q85" i="3"/>
  <c r="V84" i="5"/>
  <c r="W84" i="5"/>
  <c r="X84" i="5"/>
  <c r="Y84" i="5"/>
  <c r="Z84" i="5"/>
  <c r="AA84" i="5"/>
  <c r="AB84" i="4"/>
  <c r="W84" i="4"/>
  <c r="X84" i="4"/>
  <c r="Y84" i="4"/>
  <c r="Z84" i="4"/>
  <c r="AA84" i="4"/>
  <c r="V84" i="4"/>
  <c r="M84" i="3" l="1"/>
  <c r="N84" i="3"/>
  <c r="R84" i="3" s="1"/>
  <c r="O84" i="3"/>
  <c r="T84" i="3" s="1"/>
  <c r="U84" i="3"/>
  <c r="V84" i="3"/>
  <c r="W84" i="3"/>
  <c r="X84" i="3"/>
  <c r="Y84" i="3"/>
  <c r="Z84" i="3"/>
  <c r="AA84" i="3"/>
  <c r="AB84" i="3"/>
  <c r="AC84" i="3"/>
  <c r="AD84" i="3"/>
  <c r="AE84" i="3"/>
  <c r="AF84" i="3"/>
  <c r="AG84" i="3"/>
  <c r="AH84" i="3"/>
  <c r="AI84" i="3"/>
  <c r="AJ84" i="3"/>
  <c r="AK84" i="3"/>
  <c r="AL84" i="3"/>
  <c r="AM84" i="3"/>
  <c r="AN84" i="3"/>
  <c r="AO84" i="3"/>
  <c r="AP84" i="3"/>
  <c r="AQ84" i="3"/>
  <c r="AR84" i="3"/>
  <c r="O2" i="3"/>
  <c r="O3" i="3"/>
  <c r="O4" i="3"/>
  <c r="O5" i="3"/>
  <c r="O6" i="3"/>
  <c r="O7" i="3"/>
  <c r="O8" i="3"/>
  <c r="O9" i="3"/>
  <c r="O10" i="3"/>
  <c r="O11" i="3"/>
  <c r="O12" i="3"/>
  <c r="O13" i="3"/>
  <c r="O14" i="3"/>
  <c r="O15" i="3"/>
  <c r="O16" i="3"/>
  <c r="O17" i="3"/>
  <c r="O18" i="3"/>
  <c r="O19" i="3"/>
  <c r="O20" i="3"/>
  <c r="O21" i="3"/>
  <c r="O22" i="3"/>
  <c r="O23" i="3"/>
  <c r="O24" i="3"/>
  <c r="O25" i="3"/>
  <c r="O26" i="3"/>
  <c r="O27" i="3"/>
  <c r="O28" i="3"/>
  <c r="O29" i="3"/>
  <c r="O30" i="3"/>
  <c r="O31" i="3"/>
  <c r="O32" i="3"/>
  <c r="O33" i="3"/>
  <c r="O34" i="3"/>
  <c r="O35" i="3"/>
  <c r="O36" i="3"/>
  <c r="O37" i="3"/>
  <c r="O38" i="3"/>
  <c r="O39" i="3"/>
  <c r="O40" i="3"/>
  <c r="O41" i="3"/>
  <c r="O42" i="3"/>
  <c r="O43" i="3"/>
  <c r="O44" i="3"/>
  <c r="O45" i="3"/>
  <c r="O46" i="3"/>
  <c r="O47" i="3"/>
  <c r="O48" i="3"/>
  <c r="O49" i="3"/>
  <c r="O50" i="3"/>
  <c r="O51" i="3"/>
  <c r="O52" i="3"/>
  <c r="O53" i="3"/>
  <c r="O54" i="3"/>
  <c r="O82" i="3"/>
  <c r="O83" i="3"/>
  <c r="T83" i="3" s="1"/>
  <c r="B83" i="6" a="1"/>
  <c r="B83" i="6" s="1"/>
  <c r="C83" i="6" a="1"/>
  <c r="C83" i="6" s="1"/>
  <c r="D83" i="6" a="1"/>
  <c r="D83" i="6" s="1"/>
  <c r="E83" i="6" a="1"/>
  <c r="E83" i="6" s="1"/>
  <c r="F83" i="6" a="1"/>
  <c r="F83" i="6" s="1"/>
  <c r="G83" i="6" a="1"/>
  <c r="G83" i="6" s="1"/>
  <c r="H83" i="6" a="1"/>
  <c r="H83" i="6" s="1"/>
  <c r="I83" i="6" a="1"/>
  <c r="I83" i="6" s="1"/>
  <c r="B83" i="5" a="1"/>
  <c r="B83" i="5" s="1"/>
  <c r="C83" i="5" a="1"/>
  <c r="C83" i="5" s="1"/>
  <c r="D83" i="5" a="1"/>
  <c r="D83" i="5" s="1"/>
  <c r="E83" i="5" a="1"/>
  <c r="E83" i="5" s="1"/>
  <c r="F83" i="5" a="1"/>
  <c r="F83" i="5" s="1"/>
  <c r="G83" i="5" a="1"/>
  <c r="G83" i="5" s="1"/>
  <c r="H83" i="5" a="1"/>
  <c r="H83" i="5" s="1"/>
  <c r="I83" i="5" a="1"/>
  <c r="I83" i="5" s="1"/>
  <c r="U83" i="5"/>
  <c r="M83" i="3" s="1"/>
  <c r="B83" i="4" a="1"/>
  <c r="B83" i="4" s="1"/>
  <c r="C83" i="4" a="1"/>
  <c r="C83" i="4" s="1"/>
  <c r="D83" i="4" a="1"/>
  <c r="D83" i="4" s="1"/>
  <c r="E83" i="4" a="1"/>
  <c r="E83" i="4" s="1"/>
  <c r="F83" i="4" a="1"/>
  <c r="F83" i="4" s="1"/>
  <c r="G83" i="4" a="1"/>
  <c r="G83" i="4" s="1"/>
  <c r="H83" i="4" a="1"/>
  <c r="H83" i="4" s="1"/>
  <c r="I83" i="4" a="1"/>
  <c r="I83" i="4" s="1"/>
  <c r="N83" i="3"/>
  <c r="U83" i="3"/>
  <c r="V83" i="3"/>
  <c r="W83" i="3"/>
  <c r="X83" i="3"/>
  <c r="Y83" i="3"/>
  <c r="Z83" i="3"/>
  <c r="AK83" i="3"/>
  <c r="AL83" i="3"/>
  <c r="AM83" i="3"/>
  <c r="AN83" i="3"/>
  <c r="AO83" i="3"/>
  <c r="AP83" i="3"/>
  <c r="AQ83" i="3"/>
  <c r="AR83" i="3"/>
  <c r="P84" i="3" l="1"/>
  <c r="S84" i="3"/>
  <c r="Q84" i="3"/>
  <c r="V83" i="5"/>
  <c r="AA83" i="3" s="1"/>
  <c r="W83" i="5"/>
  <c r="AB83" i="3" s="1"/>
  <c r="X83" i="5"/>
  <c r="AC83" i="3" s="1"/>
  <c r="Y83" i="5"/>
  <c r="AD83" i="3" s="1"/>
  <c r="Z83" i="5"/>
  <c r="AE83" i="3" s="1"/>
  <c r="AA83" i="5"/>
  <c r="AB83" i="4"/>
  <c r="W83" i="4"/>
  <c r="X83" i="4"/>
  <c r="AG83" i="3" s="1"/>
  <c r="Y83" i="4"/>
  <c r="AH83" i="3" s="1"/>
  <c r="Z83" i="4"/>
  <c r="AI83" i="3" s="1"/>
  <c r="AA83" i="4"/>
  <c r="AJ83" i="3" s="1"/>
  <c r="V83" i="4"/>
  <c r="AF83" i="3" s="1"/>
  <c r="R83" i="3"/>
  <c r="Q83" i="3"/>
  <c r="P83" i="3" l="1"/>
  <c r="S83" i="3"/>
  <c r="B82" i="6" l="1" a="1"/>
  <c r="B82" i="6" s="1"/>
  <c r="C82" i="6" a="1"/>
  <c r="C82" i="6" s="1"/>
  <c r="D82" i="6" a="1"/>
  <c r="D82" i="6" s="1"/>
  <c r="E82" i="6" a="1"/>
  <c r="E82" i="6" s="1"/>
  <c r="F82" i="6" a="1"/>
  <c r="F82" i="6" s="1"/>
  <c r="G82" i="6" a="1"/>
  <c r="G82" i="6" s="1"/>
  <c r="H82" i="6" a="1"/>
  <c r="H82" i="6" s="1"/>
  <c r="I82" i="6" a="1"/>
  <c r="I82" i="6" s="1"/>
  <c r="N2" i="3"/>
  <c r="N3" i="3"/>
  <c r="N4" i="3"/>
  <c r="N5" i="3"/>
  <c r="N6" i="3"/>
  <c r="N7" i="3"/>
  <c r="N8" i="3"/>
  <c r="N9" i="3"/>
  <c r="N10" i="3"/>
  <c r="N11" i="3"/>
  <c r="N12" i="3"/>
  <c r="N13" i="3"/>
  <c r="N14" i="3"/>
  <c r="N15" i="3"/>
  <c r="N16" i="3"/>
  <c r="N17" i="3"/>
  <c r="N18" i="3"/>
  <c r="N19" i="3"/>
  <c r="N20" i="3"/>
  <c r="N21" i="3"/>
  <c r="N22" i="3"/>
  <c r="N23" i="3"/>
  <c r="N24" i="3"/>
  <c r="N25" i="3"/>
  <c r="N26" i="3"/>
  <c r="N27" i="3"/>
  <c r="N30" i="3"/>
  <c r="N31" i="3"/>
  <c r="N32" i="3"/>
  <c r="N33" i="3"/>
  <c r="N34" i="3"/>
  <c r="N35" i="3"/>
  <c r="N36" i="3"/>
  <c r="N37" i="3"/>
  <c r="N29" i="3"/>
  <c r="N28" i="3"/>
  <c r="N38" i="3"/>
  <c r="N39" i="3"/>
  <c r="N40" i="3"/>
  <c r="N41" i="3"/>
  <c r="N42" i="3"/>
  <c r="N43" i="3"/>
  <c r="N44" i="3"/>
  <c r="N45" i="3"/>
  <c r="N46" i="3"/>
  <c r="N47" i="3"/>
  <c r="N48" i="3"/>
  <c r="N49" i="3"/>
  <c r="N50" i="3"/>
  <c r="N51" i="3"/>
  <c r="N52" i="3"/>
  <c r="N53" i="3"/>
  <c r="N61" i="3"/>
  <c r="N54" i="3"/>
  <c r="N55" i="3"/>
  <c r="N56" i="3"/>
  <c r="N57" i="3"/>
  <c r="N58" i="3"/>
  <c r="N59" i="3"/>
  <c r="N60" i="3"/>
  <c r="N62" i="3"/>
  <c r="N63" i="3"/>
  <c r="N64" i="3"/>
  <c r="N65" i="3"/>
  <c r="N66" i="3"/>
  <c r="N67" i="3"/>
  <c r="N68" i="3"/>
  <c r="N74" i="3"/>
  <c r="N69" i="3"/>
  <c r="N81" i="3"/>
  <c r="N70" i="3"/>
  <c r="N76" i="3"/>
  <c r="N71" i="3"/>
  <c r="N72" i="3"/>
  <c r="N73" i="3"/>
  <c r="N75" i="3"/>
  <c r="N77" i="3"/>
  <c r="N78" i="3"/>
  <c r="N79" i="3"/>
  <c r="N80" i="3"/>
  <c r="N82" i="3"/>
  <c r="B82" i="4" a="1"/>
  <c r="B82" i="4" s="1"/>
  <c r="C82" i="4" a="1"/>
  <c r="C82" i="4" s="1"/>
  <c r="D82" i="4" a="1"/>
  <c r="D82" i="4" s="1"/>
  <c r="E82" i="4" a="1"/>
  <c r="E82" i="4" s="1"/>
  <c r="F82" i="4" a="1"/>
  <c r="F82" i="4" s="1"/>
  <c r="G82" i="4" a="1"/>
  <c r="G82" i="4" s="1"/>
  <c r="H82" i="4" a="1"/>
  <c r="H82" i="4" s="1"/>
  <c r="I82" i="4" a="1"/>
  <c r="I82" i="4" s="1"/>
  <c r="U2" i="5"/>
  <c r="M2" i="3" s="1"/>
  <c r="U3" i="5"/>
  <c r="M3" i="3" s="1"/>
  <c r="U4" i="5"/>
  <c r="M4" i="3" s="1"/>
  <c r="U5" i="5"/>
  <c r="M5" i="3" s="1"/>
  <c r="U6" i="5"/>
  <c r="M6" i="3" s="1"/>
  <c r="U7" i="5"/>
  <c r="M7" i="3" s="1"/>
  <c r="U8" i="5"/>
  <c r="M8" i="3" s="1"/>
  <c r="U9" i="5"/>
  <c r="M9" i="3" s="1"/>
  <c r="U10" i="5"/>
  <c r="M10" i="3" s="1"/>
  <c r="U11" i="5"/>
  <c r="M11" i="3" s="1"/>
  <c r="U12" i="5"/>
  <c r="M12" i="3" s="1"/>
  <c r="U13" i="5"/>
  <c r="M13" i="3" s="1"/>
  <c r="U14" i="5"/>
  <c r="M14" i="3" s="1"/>
  <c r="U15" i="5"/>
  <c r="M15" i="3" s="1"/>
  <c r="U16" i="5"/>
  <c r="M16" i="3" s="1"/>
  <c r="U17" i="5"/>
  <c r="M17" i="3" s="1"/>
  <c r="U18" i="5"/>
  <c r="M18" i="3" s="1"/>
  <c r="U19" i="5"/>
  <c r="M19" i="3" s="1"/>
  <c r="U20" i="5"/>
  <c r="M20" i="3" s="1"/>
  <c r="U21" i="5"/>
  <c r="M21" i="3" s="1"/>
  <c r="U22" i="5"/>
  <c r="M22" i="3" s="1"/>
  <c r="U23" i="5"/>
  <c r="M23" i="3" s="1"/>
  <c r="U24" i="5"/>
  <c r="M24" i="3" s="1"/>
  <c r="U25" i="5"/>
  <c r="M25" i="3" s="1"/>
  <c r="U26" i="5"/>
  <c r="M26" i="3" s="1"/>
  <c r="U27" i="5"/>
  <c r="M27" i="3" s="1"/>
  <c r="U28" i="5"/>
  <c r="M28" i="3" s="1"/>
  <c r="U29" i="5"/>
  <c r="M29" i="3" s="1"/>
  <c r="U30" i="5"/>
  <c r="M30" i="3" s="1"/>
  <c r="U31" i="5"/>
  <c r="M31" i="3" s="1"/>
  <c r="U32" i="5"/>
  <c r="M32" i="3" s="1"/>
  <c r="U33" i="5"/>
  <c r="M33" i="3" s="1"/>
  <c r="U34" i="5"/>
  <c r="M34" i="3" s="1"/>
  <c r="U35" i="5"/>
  <c r="M35" i="3" s="1"/>
  <c r="U36" i="5"/>
  <c r="M36" i="3" s="1"/>
  <c r="U37" i="5"/>
  <c r="M37" i="3" s="1"/>
  <c r="U38" i="5"/>
  <c r="M38" i="3" s="1"/>
  <c r="U39" i="5"/>
  <c r="M39" i="3" s="1"/>
  <c r="U40" i="5"/>
  <c r="M40" i="3" s="1"/>
  <c r="U41" i="5"/>
  <c r="M41" i="3" s="1"/>
  <c r="U42" i="5"/>
  <c r="M42" i="3" s="1"/>
  <c r="U43" i="5"/>
  <c r="M43" i="3" s="1"/>
  <c r="U44" i="5"/>
  <c r="M44" i="3" s="1"/>
  <c r="U45" i="5"/>
  <c r="M45" i="3" s="1"/>
  <c r="U46" i="5"/>
  <c r="M46" i="3" s="1"/>
  <c r="U47" i="5"/>
  <c r="M47" i="3" s="1"/>
  <c r="U48" i="5"/>
  <c r="M48" i="3" s="1"/>
  <c r="U49" i="5"/>
  <c r="M49" i="3" s="1"/>
  <c r="U50" i="5"/>
  <c r="M50" i="3" s="1"/>
  <c r="U51" i="5"/>
  <c r="M51" i="3" s="1"/>
  <c r="U52" i="5"/>
  <c r="M52" i="3" s="1"/>
  <c r="U53" i="5"/>
  <c r="M53" i="3" s="1"/>
  <c r="U54" i="5"/>
  <c r="M54" i="3" s="1"/>
  <c r="U55" i="5"/>
  <c r="M55" i="3" s="1"/>
  <c r="U56" i="5"/>
  <c r="M56" i="3" s="1"/>
  <c r="U57" i="5"/>
  <c r="M57" i="3" s="1"/>
  <c r="U58" i="5"/>
  <c r="M58" i="3" s="1"/>
  <c r="U59" i="5"/>
  <c r="M59" i="3" s="1"/>
  <c r="U60" i="5"/>
  <c r="M60" i="3" s="1"/>
  <c r="U61" i="5"/>
  <c r="M61" i="3" s="1"/>
  <c r="U62" i="5"/>
  <c r="M62" i="3" s="1"/>
  <c r="U63" i="5"/>
  <c r="M63" i="3" s="1"/>
  <c r="U64" i="5"/>
  <c r="M64" i="3" s="1"/>
  <c r="U65" i="5"/>
  <c r="M65" i="3" s="1"/>
  <c r="U66" i="5"/>
  <c r="M66" i="3" s="1"/>
  <c r="U67" i="5"/>
  <c r="M67" i="3" s="1"/>
  <c r="U68" i="5"/>
  <c r="M68" i="3" s="1"/>
  <c r="U69" i="5"/>
  <c r="M69" i="3" s="1"/>
  <c r="U70" i="5"/>
  <c r="M70" i="3" s="1"/>
  <c r="U71" i="5"/>
  <c r="M71" i="3" s="1"/>
  <c r="U72" i="5"/>
  <c r="M72" i="3" s="1"/>
  <c r="U73" i="5"/>
  <c r="M73" i="3" s="1"/>
  <c r="U74" i="5"/>
  <c r="M74" i="3" s="1"/>
  <c r="U75" i="5"/>
  <c r="M75" i="3" s="1"/>
  <c r="U76" i="5"/>
  <c r="M76" i="3" s="1"/>
  <c r="U77" i="5"/>
  <c r="M77" i="3" s="1"/>
  <c r="U78" i="5"/>
  <c r="M78" i="3" s="1"/>
  <c r="U79" i="5"/>
  <c r="M79" i="3" s="1"/>
  <c r="U80" i="5"/>
  <c r="M80" i="3" s="1"/>
  <c r="U81" i="5"/>
  <c r="M81" i="3" s="1"/>
  <c r="U82" i="5"/>
  <c r="M82" i="3" s="1"/>
  <c r="B82" i="5" a="1"/>
  <c r="B82" i="5" s="1"/>
  <c r="C82" i="5" a="1"/>
  <c r="C82" i="5" s="1"/>
  <c r="D82" i="5" a="1"/>
  <c r="D82" i="5" s="1"/>
  <c r="E82" i="5" a="1"/>
  <c r="E82" i="5" s="1"/>
  <c r="F82" i="5" a="1"/>
  <c r="F82" i="5" s="1"/>
  <c r="G82" i="5" a="1"/>
  <c r="G82" i="5" s="1"/>
  <c r="H82" i="5" a="1"/>
  <c r="H82" i="5" s="1"/>
  <c r="I82" i="5" a="1"/>
  <c r="I82" i="5" s="1"/>
  <c r="AB82" i="4" l="1"/>
  <c r="W82" i="4"/>
  <c r="X82" i="4"/>
  <c r="Y82" i="4"/>
  <c r="Z82" i="4"/>
  <c r="AA82" i="4"/>
  <c r="V82" i="4"/>
  <c r="V82" i="5"/>
  <c r="W82" i="5"/>
  <c r="Y82" i="5"/>
  <c r="X82" i="5"/>
  <c r="Z82" i="5"/>
  <c r="AA82" i="5"/>
  <c r="R82" i="3" l="1"/>
  <c r="T82" i="3"/>
  <c r="U82" i="3"/>
  <c r="V82" i="3"/>
  <c r="W82" i="3"/>
  <c r="X82" i="3"/>
  <c r="Y82" i="3"/>
  <c r="Z82" i="3"/>
  <c r="AA82" i="3"/>
  <c r="AB82" i="3"/>
  <c r="AC82" i="3"/>
  <c r="AD82" i="3"/>
  <c r="AE82" i="3"/>
  <c r="AF82" i="3"/>
  <c r="AG82" i="3"/>
  <c r="AH82" i="3"/>
  <c r="AI82" i="3"/>
  <c r="AJ82" i="3"/>
  <c r="AK82" i="3"/>
  <c r="AL82" i="3"/>
  <c r="AM82" i="3"/>
  <c r="AN82" i="3"/>
  <c r="AO82" i="3"/>
  <c r="AP82" i="3"/>
  <c r="AQ82" i="3"/>
  <c r="AR82" i="3"/>
  <c r="Z3" i="2"/>
  <c r="Z4" i="2"/>
  <c r="Z5" i="2"/>
  <c r="Z6" i="2"/>
  <c r="Z7" i="2"/>
  <c r="Z8" i="2"/>
  <c r="Z9" i="2"/>
  <c r="Z10" i="2"/>
  <c r="Z11" i="2"/>
  <c r="Z12" i="2"/>
  <c r="Z13" i="2"/>
  <c r="Z14" i="2"/>
  <c r="Z15" i="2"/>
  <c r="Z16" i="2"/>
  <c r="Z17" i="2"/>
  <c r="Z18" i="2"/>
  <c r="Z19" i="2"/>
  <c r="Z20" i="2"/>
  <c r="Z21" i="2"/>
  <c r="Z22" i="2"/>
  <c r="Z23" i="2"/>
  <c r="Z24" i="2"/>
  <c r="Z25" i="2"/>
  <c r="Z26" i="2"/>
  <c r="Z27" i="2"/>
  <c r="Z28" i="2"/>
  <c r="Z29" i="2"/>
  <c r="Z30" i="2"/>
  <c r="Z31" i="2"/>
  <c r="Z32" i="2"/>
  <c r="Z33" i="2"/>
  <c r="V3" i="2"/>
  <c r="V4" i="2"/>
  <c r="V5" i="2"/>
  <c r="V6" i="2"/>
  <c r="V7" i="2"/>
  <c r="V8" i="2"/>
  <c r="V9" i="2"/>
  <c r="V10" i="2"/>
  <c r="V11" i="2"/>
  <c r="V12" i="2"/>
  <c r="V13" i="2"/>
  <c r="V14" i="2"/>
  <c r="V15" i="2"/>
  <c r="V16" i="2"/>
  <c r="V17" i="2"/>
  <c r="V18" i="2"/>
  <c r="V19" i="2"/>
  <c r="V20" i="2"/>
  <c r="V21" i="2"/>
  <c r="V22" i="2"/>
  <c r="V23" i="2"/>
  <c r="V24" i="2"/>
  <c r="V25" i="2"/>
  <c r="V26" i="2"/>
  <c r="V27" i="2"/>
  <c r="V28" i="2"/>
  <c r="V29" i="2"/>
  <c r="V30" i="2"/>
  <c r="V31" i="2"/>
  <c r="V32" i="2"/>
  <c r="V33" i="2"/>
  <c r="R3" i="2"/>
  <c r="R4" i="2"/>
  <c r="R5" i="2"/>
  <c r="R6" i="2"/>
  <c r="R7" i="2"/>
  <c r="R8" i="2"/>
  <c r="R9" i="2"/>
  <c r="R10" i="2"/>
  <c r="R11" i="2"/>
  <c r="R12" i="2"/>
  <c r="R13" i="2"/>
  <c r="R14" i="2"/>
  <c r="R15" i="2"/>
  <c r="R16" i="2"/>
  <c r="R17" i="2"/>
  <c r="R18" i="2"/>
  <c r="R19" i="2"/>
  <c r="R20" i="2"/>
  <c r="R21" i="2"/>
  <c r="R22" i="2"/>
  <c r="R23" i="2"/>
  <c r="R24" i="2"/>
  <c r="R25" i="2"/>
  <c r="R26" i="2"/>
  <c r="R27" i="2"/>
  <c r="R28" i="2"/>
  <c r="R29" i="2"/>
  <c r="R30" i="2"/>
  <c r="R31" i="2"/>
  <c r="R32" i="2"/>
  <c r="R33" i="2"/>
  <c r="N3" i="2"/>
  <c r="N4" i="2"/>
  <c r="N5" i="2"/>
  <c r="N6" i="2"/>
  <c r="N7" i="2"/>
  <c r="N8" i="2"/>
  <c r="N9" i="2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J3" i="2"/>
  <c r="J4" i="2"/>
  <c r="J5" i="2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P82" i="3" l="1"/>
  <c r="Q82" i="3"/>
  <c r="S82" i="3"/>
  <c r="B7" i="4" a="1"/>
  <c r="B7" i="4" s="1"/>
  <c r="B6" i="4" a="1"/>
  <c r="B6" i="4" s="1"/>
  <c r="B5" i="4" a="1"/>
  <c r="B5" i="4" s="1"/>
  <c r="B4" i="4" a="1"/>
  <c r="B4" i="4" s="1"/>
  <c r="B3" i="4" a="1"/>
  <c r="B3" i="4" s="1"/>
  <c r="B2" i="4" a="1"/>
  <c r="B2" i="4" s="1"/>
  <c r="B22" i="4" a="1"/>
  <c r="B22" i="4" s="1"/>
  <c r="B21" i="4" a="1"/>
  <c r="B21" i="4" s="1"/>
  <c r="B20" i="4" a="1"/>
  <c r="B20" i="4" s="1"/>
  <c r="B19" i="4" a="1"/>
  <c r="B19" i="4" s="1"/>
  <c r="B18" i="4" a="1"/>
  <c r="B18" i="4" s="1"/>
  <c r="B17" i="4" a="1"/>
  <c r="B17" i="4" s="1"/>
  <c r="B16" i="4" a="1"/>
  <c r="B16" i="4" s="1"/>
  <c r="B15" i="4" a="1"/>
  <c r="B15" i="4" s="1"/>
  <c r="B14" i="4" a="1"/>
  <c r="B14" i="4" s="1"/>
  <c r="B13" i="4" a="1"/>
  <c r="B13" i="4" s="1"/>
  <c r="B12" i="4" a="1"/>
  <c r="B12" i="4" s="1"/>
  <c r="B11" i="4" a="1"/>
  <c r="B11" i="4" s="1"/>
  <c r="B10" i="4" a="1"/>
  <c r="B10" i="4" s="1"/>
  <c r="B9" i="4" a="1"/>
  <c r="B9" i="4" s="1"/>
  <c r="B8" i="4" a="1"/>
  <c r="B8" i="4" s="1"/>
  <c r="B23" i="4" a="1"/>
  <c r="B23" i="4" s="1"/>
  <c r="C23" i="4" a="1"/>
  <c r="C23" i="4" s="1"/>
  <c r="D23" i="4" a="1"/>
  <c r="D23" i="4" s="1"/>
  <c r="E23" i="4" a="1"/>
  <c r="E23" i="4" s="1"/>
  <c r="F23" i="4" a="1"/>
  <c r="F23" i="4" s="1"/>
  <c r="G23" i="4" a="1"/>
  <c r="G23" i="4" s="1"/>
  <c r="H23" i="4" a="1"/>
  <c r="H23" i="4" s="1"/>
  <c r="I23" i="4" a="1"/>
  <c r="I23" i="4" s="1"/>
  <c r="B25" i="4" a="1"/>
  <c r="B25" i="4" s="1"/>
  <c r="C25" i="4" a="1"/>
  <c r="C25" i="4" s="1"/>
  <c r="D25" i="4" a="1"/>
  <c r="D25" i="4" s="1"/>
  <c r="E25" i="4" a="1"/>
  <c r="E25" i="4" s="1"/>
  <c r="F25" i="4" a="1"/>
  <c r="F25" i="4" s="1"/>
  <c r="G25" i="4" a="1"/>
  <c r="G25" i="4" s="1"/>
  <c r="H25" i="4" a="1"/>
  <c r="H25" i="4" s="1"/>
  <c r="I25" i="4" a="1"/>
  <c r="I25" i="4" s="1"/>
  <c r="B27" i="4" a="1"/>
  <c r="B27" i="4" s="1"/>
  <c r="C27" i="4" a="1"/>
  <c r="C27" i="4" s="1"/>
  <c r="D27" i="4" a="1"/>
  <c r="D27" i="4" s="1"/>
  <c r="E27" i="4" a="1"/>
  <c r="E27" i="4" s="1"/>
  <c r="F27" i="4" a="1"/>
  <c r="F27" i="4" s="1"/>
  <c r="G27" i="4" a="1"/>
  <c r="G27" i="4" s="1"/>
  <c r="H27" i="4" a="1"/>
  <c r="H27" i="4" s="1"/>
  <c r="I27" i="4" a="1"/>
  <c r="I27" i="4" s="1"/>
  <c r="B24" i="4" a="1"/>
  <c r="B24" i="4" s="1"/>
  <c r="C24" i="4" a="1"/>
  <c r="C24" i="4" s="1"/>
  <c r="D24" i="4" a="1"/>
  <c r="D24" i="4" s="1"/>
  <c r="E24" i="4" a="1"/>
  <c r="E24" i="4" s="1"/>
  <c r="F24" i="4" a="1"/>
  <c r="F24" i="4" s="1"/>
  <c r="G24" i="4" a="1"/>
  <c r="G24" i="4" s="1"/>
  <c r="H24" i="4" a="1"/>
  <c r="H24" i="4" s="1"/>
  <c r="I24" i="4" a="1"/>
  <c r="I24" i="4" s="1"/>
  <c r="B28" i="4" a="1"/>
  <c r="B28" i="4" s="1"/>
  <c r="C28" i="4" a="1"/>
  <c r="C28" i="4" s="1"/>
  <c r="D28" i="4" a="1"/>
  <c r="D28" i="4" s="1"/>
  <c r="E28" i="4" a="1"/>
  <c r="E28" i="4" s="1"/>
  <c r="F28" i="4" a="1"/>
  <c r="F28" i="4" s="1"/>
  <c r="G28" i="4" a="1"/>
  <c r="G28" i="4" s="1"/>
  <c r="H28" i="4" a="1"/>
  <c r="H28" i="4" s="1"/>
  <c r="I28" i="4" a="1"/>
  <c r="I28" i="4" s="1"/>
  <c r="B29" i="4" a="1"/>
  <c r="B29" i="4" s="1"/>
  <c r="C29" i="4" a="1"/>
  <c r="C29" i="4" s="1"/>
  <c r="D29" i="4" a="1"/>
  <c r="D29" i="4" s="1"/>
  <c r="E29" i="4" a="1"/>
  <c r="E29" i="4" s="1"/>
  <c r="F29" i="4" a="1"/>
  <c r="F29" i="4" s="1"/>
  <c r="G29" i="4" a="1"/>
  <c r="G29" i="4" s="1"/>
  <c r="H29" i="4" a="1"/>
  <c r="H29" i="4" s="1"/>
  <c r="I29" i="4" a="1"/>
  <c r="I29" i="4" s="1"/>
  <c r="B30" i="4" a="1"/>
  <c r="B30" i="4" s="1"/>
  <c r="C30" i="4" a="1"/>
  <c r="C30" i="4" s="1"/>
  <c r="D30" i="4" a="1"/>
  <c r="D30" i="4" s="1"/>
  <c r="E30" i="4" a="1"/>
  <c r="E30" i="4" s="1"/>
  <c r="F30" i="4" a="1"/>
  <c r="F30" i="4" s="1"/>
  <c r="G30" i="4" a="1"/>
  <c r="G30" i="4" s="1"/>
  <c r="H30" i="4" a="1"/>
  <c r="H30" i="4" s="1"/>
  <c r="I30" i="4" a="1"/>
  <c r="I30" i="4" s="1"/>
  <c r="B31" i="4" a="1"/>
  <c r="B31" i="4" s="1"/>
  <c r="C31" i="4" a="1"/>
  <c r="C31" i="4" s="1"/>
  <c r="D31" i="4" a="1"/>
  <c r="D31" i="4" s="1"/>
  <c r="E31" i="4" a="1"/>
  <c r="E31" i="4" s="1"/>
  <c r="F31" i="4" a="1"/>
  <c r="F31" i="4" s="1"/>
  <c r="G31" i="4" a="1"/>
  <c r="G31" i="4" s="1"/>
  <c r="H31" i="4" a="1"/>
  <c r="H31" i="4" s="1"/>
  <c r="I31" i="4" a="1"/>
  <c r="I31" i="4" s="1"/>
  <c r="B32" i="4" a="1"/>
  <c r="B32" i="4" s="1"/>
  <c r="C32" i="4" a="1"/>
  <c r="C32" i="4" s="1"/>
  <c r="D32" i="4" a="1"/>
  <c r="D32" i="4" s="1"/>
  <c r="E32" i="4" a="1"/>
  <c r="E32" i="4" s="1"/>
  <c r="F32" i="4" a="1"/>
  <c r="F32" i="4" s="1"/>
  <c r="G32" i="4" a="1"/>
  <c r="G32" i="4" s="1"/>
  <c r="H32" i="4" a="1"/>
  <c r="H32" i="4" s="1"/>
  <c r="I32" i="4" a="1"/>
  <c r="I32" i="4" s="1"/>
  <c r="B33" i="4" a="1"/>
  <c r="B33" i="4" s="1"/>
  <c r="C33" i="4" a="1"/>
  <c r="C33" i="4" s="1"/>
  <c r="D33" i="4" a="1"/>
  <c r="D33" i="4" s="1"/>
  <c r="E33" i="4" a="1"/>
  <c r="E33" i="4" s="1"/>
  <c r="F33" i="4" a="1"/>
  <c r="F33" i="4" s="1"/>
  <c r="G33" i="4" a="1"/>
  <c r="G33" i="4" s="1"/>
  <c r="H33" i="4" a="1"/>
  <c r="H33" i="4" s="1"/>
  <c r="I33" i="4" a="1"/>
  <c r="I33" i="4" s="1"/>
  <c r="C9" i="4" a="1"/>
  <c r="C9" i="4" s="1"/>
  <c r="C10" i="4" a="1"/>
  <c r="C10" i="4" s="1"/>
  <c r="D9" i="4" a="1"/>
  <c r="D9" i="4" s="1"/>
  <c r="D10" i="4" a="1"/>
  <c r="D10" i="4" s="1"/>
  <c r="E9" i="4" a="1"/>
  <c r="E9" i="4" s="1"/>
  <c r="E10" i="4" a="1"/>
  <c r="E10" i="4" s="1"/>
  <c r="F9" i="4" a="1"/>
  <c r="F9" i="4" s="1"/>
  <c r="F10" i="4" a="1"/>
  <c r="F10" i="4" s="1"/>
  <c r="G9" i="4" a="1"/>
  <c r="G9" i="4" s="1"/>
  <c r="G10" i="4" a="1"/>
  <c r="G10" i="4" s="1"/>
  <c r="H9" i="4" a="1"/>
  <c r="H9" i="4" s="1"/>
  <c r="H10" i="4" a="1"/>
  <c r="H10" i="4" s="1"/>
  <c r="I9" i="4" a="1"/>
  <c r="I9" i="4" s="1"/>
  <c r="I10" i="4" a="1"/>
  <c r="I10" i="4" s="1"/>
  <c r="C12" i="4" a="1"/>
  <c r="C12" i="4" s="1"/>
  <c r="C13" i="4" a="1"/>
  <c r="C13" i="4" s="1"/>
  <c r="C14" i="4" a="1"/>
  <c r="C14" i="4" s="1"/>
  <c r="C15" i="4" a="1"/>
  <c r="C15" i="4" s="1"/>
  <c r="C16" i="4" a="1"/>
  <c r="C16" i="4" s="1"/>
  <c r="C17" i="4" a="1"/>
  <c r="C17" i="4" s="1"/>
  <c r="C18" i="4" a="1"/>
  <c r="C18" i="4" s="1"/>
  <c r="C19" i="4" a="1"/>
  <c r="C19" i="4" s="1"/>
  <c r="C20" i="4" a="1"/>
  <c r="C20" i="4" s="1"/>
  <c r="C21" i="4" a="1"/>
  <c r="C21" i="4" s="1"/>
  <c r="D12" i="4" a="1"/>
  <c r="D12" i="4" s="1"/>
  <c r="D13" i="4" a="1"/>
  <c r="D13" i="4" s="1"/>
  <c r="D14" i="4" a="1"/>
  <c r="D14" i="4" s="1"/>
  <c r="D15" i="4" a="1"/>
  <c r="D15" i="4" s="1"/>
  <c r="D16" i="4" a="1"/>
  <c r="D16" i="4" s="1"/>
  <c r="D17" i="4" a="1"/>
  <c r="D17" i="4" s="1"/>
  <c r="D18" i="4" a="1"/>
  <c r="D18" i="4" s="1"/>
  <c r="D19" i="4" a="1"/>
  <c r="D19" i="4" s="1"/>
  <c r="D20" i="4" a="1"/>
  <c r="D20" i="4" s="1"/>
  <c r="D21" i="4" a="1"/>
  <c r="D21" i="4" s="1"/>
  <c r="E12" i="4" a="1"/>
  <c r="E12" i="4" s="1"/>
  <c r="E13" i="4" a="1"/>
  <c r="E13" i="4" s="1"/>
  <c r="E14" i="4" a="1"/>
  <c r="E14" i="4" s="1"/>
  <c r="E15" i="4" a="1"/>
  <c r="E15" i="4" s="1"/>
  <c r="E16" i="4" a="1"/>
  <c r="E16" i="4" s="1"/>
  <c r="E17" i="4" a="1"/>
  <c r="E17" i="4" s="1"/>
  <c r="E18" i="4" a="1"/>
  <c r="E18" i="4" s="1"/>
  <c r="E19" i="4" a="1"/>
  <c r="E19" i="4" s="1"/>
  <c r="E20" i="4" a="1"/>
  <c r="E20" i="4" s="1"/>
  <c r="E21" i="4" a="1"/>
  <c r="E21" i="4" s="1"/>
  <c r="F12" i="4" a="1"/>
  <c r="F12" i="4" s="1"/>
  <c r="F13" i="4" a="1"/>
  <c r="F13" i="4" s="1"/>
  <c r="F14" i="4" a="1"/>
  <c r="F14" i="4" s="1"/>
  <c r="F15" i="4" a="1"/>
  <c r="F15" i="4" s="1"/>
  <c r="F16" i="4" a="1"/>
  <c r="F16" i="4" s="1"/>
  <c r="F17" i="4" a="1"/>
  <c r="F17" i="4" s="1"/>
  <c r="F18" i="4" a="1"/>
  <c r="F18" i="4" s="1"/>
  <c r="F19" i="4" a="1"/>
  <c r="F19" i="4" s="1"/>
  <c r="F20" i="4" a="1"/>
  <c r="F20" i="4" s="1"/>
  <c r="F21" i="4" a="1"/>
  <c r="F21" i="4" s="1"/>
  <c r="G12" i="4" a="1"/>
  <c r="G12" i="4" s="1"/>
  <c r="G13" i="4" a="1"/>
  <c r="G13" i="4" s="1"/>
  <c r="G14" i="4" a="1"/>
  <c r="G14" i="4" s="1"/>
  <c r="G15" i="4" a="1"/>
  <c r="G15" i="4" s="1"/>
  <c r="G16" i="4" a="1"/>
  <c r="G16" i="4" s="1"/>
  <c r="G17" i="4" a="1"/>
  <c r="G17" i="4" s="1"/>
  <c r="G18" i="4" a="1"/>
  <c r="G18" i="4" s="1"/>
  <c r="G19" i="4" a="1"/>
  <c r="G19" i="4" s="1"/>
  <c r="G20" i="4" a="1"/>
  <c r="G20" i="4" s="1"/>
  <c r="G21" i="4" a="1"/>
  <c r="G21" i="4" s="1"/>
  <c r="H12" i="4" a="1"/>
  <c r="H12" i="4" s="1"/>
  <c r="H13" i="4" a="1"/>
  <c r="H13" i="4" s="1"/>
  <c r="H14" i="4" a="1"/>
  <c r="H14" i="4" s="1"/>
  <c r="H15" i="4" a="1"/>
  <c r="H15" i="4" s="1"/>
  <c r="H16" i="4" a="1"/>
  <c r="H16" i="4" s="1"/>
  <c r="H17" i="4" a="1"/>
  <c r="H17" i="4" s="1"/>
  <c r="H18" i="4" a="1"/>
  <c r="H18" i="4" s="1"/>
  <c r="H19" i="4" a="1"/>
  <c r="H19" i="4" s="1"/>
  <c r="H20" i="4" a="1"/>
  <c r="H20" i="4" s="1"/>
  <c r="H21" i="4" a="1"/>
  <c r="H21" i="4" s="1"/>
  <c r="I12" i="4" a="1"/>
  <c r="I12" i="4" s="1"/>
  <c r="I13" i="4" a="1"/>
  <c r="I13" i="4" s="1"/>
  <c r="I14" i="4" a="1"/>
  <c r="I14" i="4" s="1"/>
  <c r="I15" i="4" a="1"/>
  <c r="I15" i="4" s="1"/>
  <c r="I16" i="4" a="1"/>
  <c r="I16" i="4" s="1"/>
  <c r="I17" i="4" a="1"/>
  <c r="I17" i="4" s="1"/>
  <c r="I18" i="4" a="1"/>
  <c r="I18" i="4" s="1"/>
  <c r="I19" i="4" a="1"/>
  <c r="I19" i="4" s="1"/>
  <c r="I20" i="4" a="1"/>
  <c r="I20" i="4" s="1"/>
  <c r="I21" i="4" a="1"/>
  <c r="I21" i="4" s="1"/>
  <c r="C2" i="4" a="1"/>
  <c r="C2" i="4" s="1"/>
  <c r="C3" i="4" a="1"/>
  <c r="C3" i="4" s="1"/>
  <c r="C4" i="4" a="1"/>
  <c r="C4" i="4" s="1"/>
  <c r="C5" i="4" a="1"/>
  <c r="C5" i="4" s="1"/>
  <c r="C6" i="4" a="1"/>
  <c r="C6" i="4" s="1"/>
  <c r="C7" i="4" a="1"/>
  <c r="C7" i="4" s="1"/>
  <c r="C8" i="4" a="1"/>
  <c r="C8" i="4" s="1"/>
  <c r="C11" i="4" a="1"/>
  <c r="C11" i="4" s="1"/>
  <c r="C22" i="4" a="1"/>
  <c r="C22" i="4" s="1"/>
  <c r="D2" i="4" a="1"/>
  <c r="D2" i="4" s="1"/>
  <c r="D3" i="4" a="1"/>
  <c r="D3" i="4" s="1"/>
  <c r="D4" i="4" a="1"/>
  <c r="D4" i="4" s="1"/>
  <c r="D5" i="4" a="1"/>
  <c r="D5" i="4" s="1"/>
  <c r="D6" i="4" a="1"/>
  <c r="D6" i="4" s="1"/>
  <c r="D7" i="4" a="1"/>
  <c r="D7" i="4" s="1"/>
  <c r="D8" i="4" a="1"/>
  <c r="D8" i="4" s="1"/>
  <c r="D11" i="4" a="1"/>
  <c r="D11" i="4" s="1"/>
  <c r="D22" i="4" a="1"/>
  <c r="D22" i="4" s="1"/>
  <c r="E2" i="4" a="1"/>
  <c r="E2" i="4" s="1"/>
  <c r="E3" i="4" a="1"/>
  <c r="E3" i="4" s="1"/>
  <c r="E4" i="4" a="1"/>
  <c r="E4" i="4" s="1"/>
  <c r="E5" i="4" a="1"/>
  <c r="E5" i="4" s="1"/>
  <c r="E6" i="4" a="1"/>
  <c r="E6" i="4" s="1"/>
  <c r="E7" i="4" a="1"/>
  <c r="E7" i="4" s="1"/>
  <c r="E8" i="4" a="1"/>
  <c r="E8" i="4" s="1"/>
  <c r="E11" i="4" a="1"/>
  <c r="E11" i="4" s="1"/>
  <c r="E22" i="4" a="1"/>
  <c r="E22" i="4" s="1"/>
  <c r="F2" i="4" a="1"/>
  <c r="F2" i="4" s="1"/>
  <c r="F3" i="4" a="1"/>
  <c r="F3" i="4" s="1"/>
  <c r="F4" i="4" a="1"/>
  <c r="F4" i="4" s="1"/>
  <c r="F5" i="4" a="1"/>
  <c r="F5" i="4" s="1"/>
  <c r="F6" i="4" a="1"/>
  <c r="F6" i="4" s="1"/>
  <c r="F7" i="4" a="1"/>
  <c r="F7" i="4" s="1"/>
  <c r="F8" i="4" a="1"/>
  <c r="F8" i="4" s="1"/>
  <c r="F11" i="4" a="1"/>
  <c r="F11" i="4" s="1"/>
  <c r="F22" i="4" a="1"/>
  <c r="F22" i="4" s="1"/>
  <c r="G2" i="4" a="1"/>
  <c r="G2" i="4" s="1"/>
  <c r="G3" i="4" a="1"/>
  <c r="G3" i="4" s="1"/>
  <c r="G4" i="4" a="1"/>
  <c r="G4" i="4" s="1"/>
  <c r="G5" i="4" a="1"/>
  <c r="G5" i="4" s="1"/>
  <c r="G6" i="4" a="1"/>
  <c r="G6" i="4" s="1"/>
  <c r="G7" i="4" a="1"/>
  <c r="G7" i="4" s="1"/>
  <c r="G8" i="4" a="1"/>
  <c r="G8" i="4" s="1"/>
  <c r="G11" i="4" a="1"/>
  <c r="G11" i="4" s="1"/>
  <c r="G22" i="4" a="1"/>
  <c r="G22" i="4" s="1"/>
  <c r="H2" i="4" a="1"/>
  <c r="H2" i="4" s="1"/>
  <c r="H3" i="4" a="1"/>
  <c r="H3" i="4" s="1"/>
  <c r="H4" i="4" a="1"/>
  <c r="H4" i="4" s="1"/>
  <c r="H5" i="4" a="1"/>
  <c r="H5" i="4" s="1"/>
  <c r="H6" i="4" a="1"/>
  <c r="H6" i="4" s="1"/>
  <c r="H7" i="4" a="1"/>
  <c r="H7" i="4" s="1"/>
  <c r="H8" i="4" a="1"/>
  <c r="H8" i="4" s="1"/>
  <c r="H11" i="4" a="1"/>
  <c r="H11" i="4" s="1"/>
  <c r="H22" i="4" a="1"/>
  <c r="H22" i="4" s="1"/>
  <c r="I2" i="4" a="1"/>
  <c r="I2" i="4" s="1"/>
  <c r="I3" i="4" a="1"/>
  <c r="I3" i="4" s="1"/>
  <c r="I4" i="4" a="1"/>
  <c r="I4" i="4" s="1"/>
  <c r="I5" i="4" a="1"/>
  <c r="I5" i="4" s="1"/>
  <c r="I6" i="4" a="1"/>
  <c r="I6" i="4" s="1"/>
  <c r="I7" i="4" a="1"/>
  <c r="I7" i="4" s="1"/>
  <c r="I8" i="4" a="1"/>
  <c r="I8" i="4" s="1"/>
  <c r="I11" i="4" a="1"/>
  <c r="I11" i="4" s="1"/>
  <c r="I22" i="4" a="1"/>
  <c r="I22" i="4" s="1"/>
  <c r="AR77" i="3"/>
  <c r="AQ2" i="3"/>
  <c r="AQ3" i="3"/>
  <c r="AQ4" i="3"/>
  <c r="AQ5" i="3"/>
  <c r="AQ6" i="3"/>
  <c r="AQ7" i="3"/>
  <c r="AQ8" i="3"/>
  <c r="AQ9" i="3"/>
  <c r="AQ10" i="3"/>
  <c r="AQ11" i="3"/>
  <c r="AQ12" i="3"/>
  <c r="AQ13" i="3"/>
  <c r="AQ14" i="3"/>
  <c r="AQ15" i="3"/>
  <c r="AQ16" i="3"/>
  <c r="AQ17" i="3"/>
  <c r="AQ18" i="3"/>
  <c r="AQ19" i="3"/>
  <c r="AQ20" i="3"/>
  <c r="AQ21" i="3"/>
  <c r="AQ22" i="3"/>
  <c r="AQ23" i="3"/>
  <c r="AQ24" i="3"/>
  <c r="AQ25" i="3"/>
  <c r="AQ26" i="3"/>
  <c r="AQ27" i="3"/>
  <c r="AQ28" i="3"/>
  <c r="AQ29" i="3"/>
  <c r="AQ30" i="3"/>
  <c r="AQ31" i="3"/>
  <c r="AQ32" i="3"/>
  <c r="AQ33" i="3"/>
  <c r="AQ34" i="3"/>
  <c r="AQ35" i="3"/>
  <c r="AQ36" i="3"/>
  <c r="AQ37" i="3"/>
  <c r="AQ38" i="3"/>
  <c r="AQ39" i="3"/>
  <c r="AQ40" i="3"/>
  <c r="AQ41" i="3"/>
  <c r="AQ42" i="3"/>
  <c r="AQ43" i="3"/>
  <c r="AQ44" i="3"/>
  <c r="AQ45" i="3"/>
  <c r="AQ46" i="3"/>
  <c r="AQ47" i="3"/>
  <c r="AQ48" i="3"/>
  <c r="AQ49" i="3"/>
  <c r="AQ50" i="3"/>
  <c r="AQ51" i="3"/>
  <c r="AQ52" i="3"/>
  <c r="AQ53" i="3"/>
  <c r="AQ54" i="3"/>
  <c r="AQ55" i="3"/>
  <c r="AQ56" i="3"/>
  <c r="AQ57" i="3"/>
  <c r="AQ58" i="3"/>
  <c r="AQ59" i="3"/>
  <c r="AQ60" i="3"/>
  <c r="AQ61" i="3"/>
  <c r="AQ62" i="3"/>
  <c r="AQ63" i="3"/>
  <c r="AQ64" i="3"/>
  <c r="AQ65" i="3"/>
  <c r="AQ66" i="3"/>
  <c r="AQ67" i="3"/>
  <c r="AQ68" i="3"/>
  <c r="AQ69" i="3"/>
  <c r="AQ70" i="3"/>
  <c r="AQ71" i="3"/>
  <c r="AQ72" i="3"/>
  <c r="AQ73" i="3"/>
  <c r="AQ74" i="3"/>
  <c r="AQ75" i="3"/>
  <c r="AQ76" i="3"/>
  <c r="AQ77" i="3"/>
  <c r="AQ78" i="3"/>
  <c r="AQ79" i="3"/>
  <c r="AQ80" i="3"/>
  <c r="AQ81" i="3"/>
  <c r="AP2" i="3"/>
  <c r="AP3" i="3"/>
  <c r="AP4" i="3"/>
  <c r="AP5" i="3"/>
  <c r="AP6" i="3"/>
  <c r="AP7" i="3"/>
  <c r="AP8" i="3"/>
  <c r="AP9" i="3"/>
  <c r="AP10" i="3"/>
  <c r="AP11" i="3"/>
  <c r="AP12" i="3"/>
  <c r="AP13" i="3"/>
  <c r="AP14" i="3"/>
  <c r="AP15" i="3"/>
  <c r="AP16" i="3"/>
  <c r="AP17" i="3"/>
  <c r="AP18" i="3"/>
  <c r="AP19" i="3"/>
  <c r="AP20" i="3"/>
  <c r="AP21" i="3"/>
  <c r="AP22" i="3"/>
  <c r="AP23" i="3"/>
  <c r="AP24" i="3"/>
  <c r="AP25" i="3"/>
  <c r="AP26" i="3"/>
  <c r="AP27" i="3"/>
  <c r="AP28" i="3"/>
  <c r="AP29" i="3"/>
  <c r="AP30" i="3"/>
  <c r="AP31" i="3"/>
  <c r="AP32" i="3"/>
  <c r="AP33" i="3"/>
  <c r="AP34" i="3"/>
  <c r="AP35" i="3"/>
  <c r="AP36" i="3"/>
  <c r="AP37" i="3"/>
  <c r="AP38" i="3"/>
  <c r="AP39" i="3"/>
  <c r="AP40" i="3"/>
  <c r="AP41" i="3"/>
  <c r="AP42" i="3"/>
  <c r="AP43" i="3"/>
  <c r="AP44" i="3"/>
  <c r="AP45" i="3"/>
  <c r="AP46" i="3"/>
  <c r="AP47" i="3"/>
  <c r="AP48" i="3"/>
  <c r="AP49" i="3"/>
  <c r="AP50" i="3"/>
  <c r="AP51" i="3"/>
  <c r="AP52" i="3"/>
  <c r="AP53" i="3"/>
  <c r="AP54" i="3"/>
  <c r="AP55" i="3"/>
  <c r="AP56" i="3"/>
  <c r="AP57" i="3"/>
  <c r="AP58" i="3"/>
  <c r="AP59" i="3"/>
  <c r="AP60" i="3"/>
  <c r="AP61" i="3"/>
  <c r="AP62" i="3"/>
  <c r="AP63" i="3"/>
  <c r="AP64" i="3"/>
  <c r="AP65" i="3"/>
  <c r="AP66" i="3"/>
  <c r="AP67" i="3"/>
  <c r="AP68" i="3"/>
  <c r="AP69" i="3"/>
  <c r="AP70" i="3"/>
  <c r="AP71" i="3"/>
  <c r="AP72" i="3"/>
  <c r="AP73" i="3"/>
  <c r="AP74" i="3"/>
  <c r="AP75" i="3"/>
  <c r="AP76" i="3"/>
  <c r="AP77" i="3"/>
  <c r="AP78" i="3"/>
  <c r="AP79" i="3"/>
  <c r="AP80" i="3"/>
  <c r="AP81" i="3"/>
  <c r="AO2" i="3"/>
  <c r="AO3" i="3"/>
  <c r="AO4" i="3"/>
  <c r="AO5" i="3"/>
  <c r="AO6" i="3"/>
  <c r="AO7" i="3"/>
  <c r="AO8" i="3"/>
  <c r="AO9" i="3"/>
  <c r="AO10" i="3"/>
  <c r="AO11" i="3"/>
  <c r="AO12" i="3"/>
  <c r="AO13" i="3"/>
  <c r="AO14" i="3"/>
  <c r="AO15" i="3"/>
  <c r="AO16" i="3"/>
  <c r="AO17" i="3"/>
  <c r="AO18" i="3"/>
  <c r="AO19" i="3"/>
  <c r="AO20" i="3"/>
  <c r="AO21" i="3"/>
  <c r="AO22" i="3"/>
  <c r="AO23" i="3"/>
  <c r="AO24" i="3"/>
  <c r="AO25" i="3"/>
  <c r="AO26" i="3"/>
  <c r="AO27" i="3"/>
  <c r="AO28" i="3"/>
  <c r="AO29" i="3"/>
  <c r="AO30" i="3"/>
  <c r="AO31" i="3"/>
  <c r="AO32" i="3"/>
  <c r="AO33" i="3"/>
  <c r="AO34" i="3"/>
  <c r="AO35" i="3"/>
  <c r="AO36" i="3"/>
  <c r="AO37" i="3"/>
  <c r="AO38" i="3"/>
  <c r="AO39" i="3"/>
  <c r="AO40" i="3"/>
  <c r="AO41" i="3"/>
  <c r="AO42" i="3"/>
  <c r="AO43" i="3"/>
  <c r="AO44" i="3"/>
  <c r="AO45" i="3"/>
  <c r="AO46" i="3"/>
  <c r="AO47" i="3"/>
  <c r="AO48" i="3"/>
  <c r="AO49" i="3"/>
  <c r="AO50" i="3"/>
  <c r="AO51" i="3"/>
  <c r="AO52" i="3"/>
  <c r="AO53" i="3"/>
  <c r="AO54" i="3"/>
  <c r="AO55" i="3"/>
  <c r="AO56" i="3"/>
  <c r="AO57" i="3"/>
  <c r="AO58" i="3"/>
  <c r="AO59" i="3"/>
  <c r="AO60" i="3"/>
  <c r="AO61" i="3"/>
  <c r="AO62" i="3"/>
  <c r="AO63" i="3"/>
  <c r="AO64" i="3"/>
  <c r="AO65" i="3"/>
  <c r="AO66" i="3"/>
  <c r="AO67" i="3"/>
  <c r="AO68" i="3"/>
  <c r="AO69" i="3"/>
  <c r="AO70" i="3"/>
  <c r="AO71" i="3"/>
  <c r="AO72" i="3"/>
  <c r="AO73" i="3"/>
  <c r="AO74" i="3"/>
  <c r="AO75" i="3"/>
  <c r="AO76" i="3"/>
  <c r="AO77" i="3"/>
  <c r="AO78" i="3"/>
  <c r="AO79" i="3"/>
  <c r="AO80" i="3"/>
  <c r="AO81" i="3"/>
  <c r="AN77" i="3"/>
  <c r="AM2" i="3"/>
  <c r="AM3" i="3"/>
  <c r="AM4" i="3"/>
  <c r="AM5" i="3"/>
  <c r="AM6" i="3"/>
  <c r="AM7" i="3"/>
  <c r="AM8" i="3"/>
  <c r="AM9" i="3"/>
  <c r="AM10" i="3"/>
  <c r="AM11" i="3"/>
  <c r="AM12" i="3"/>
  <c r="AM13" i="3"/>
  <c r="AM14" i="3"/>
  <c r="AM15" i="3"/>
  <c r="AM16" i="3"/>
  <c r="AM17" i="3"/>
  <c r="AM18" i="3"/>
  <c r="AM19" i="3"/>
  <c r="AM20" i="3"/>
  <c r="AM21" i="3"/>
  <c r="AM22" i="3"/>
  <c r="AM23" i="3"/>
  <c r="AM24" i="3"/>
  <c r="AM25" i="3"/>
  <c r="AM26" i="3"/>
  <c r="AM27" i="3"/>
  <c r="AM28" i="3"/>
  <c r="AM29" i="3"/>
  <c r="AM30" i="3"/>
  <c r="AM31" i="3"/>
  <c r="AM32" i="3"/>
  <c r="AM33" i="3"/>
  <c r="AM34" i="3"/>
  <c r="AM35" i="3"/>
  <c r="AM36" i="3"/>
  <c r="AM37" i="3"/>
  <c r="AM38" i="3"/>
  <c r="AM39" i="3"/>
  <c r="AM40" i="3"/>
  <c r="AM41" i="3"/>
  <c r="AM42" i="3"/>
  <c r="AM43" i="3"/>
  <c r="AM44" i="3"/>
  <c r="AM45" i="3"/>
  <c r="AM46" i="3"/>
  <c r="AM47" i="3"/>
  <c r="AM48" i="3"/>
  <c r="AM49" i="3"/>
  <c r="AM50" i="3"/>
  <c r="AM51" i="3"/>
  <c r="AM52" i="3"/>
  <c r="AM53" i="3"/>
  <c r="AM54" i="3"/>
  <c r="AM55" i="3"/>
  <c r="AM56" i="3"/>
  <c r="AM57" i="3"/>
  <c r="AM58" i="3"/>
  <c r="AM59" i="3"/>
  <c r="AM60" i="3"/>
  <c r="AM61" i="3"/>
  <c r="AM62" i="3"/>
  <c r="AM63" i="3"/>
  <c r="AM64" i="3"/>
  <c r="AM65" i="3"/>
  <c r="AM66" i="3"/>
  <c r="AM67" i="3"/>
  <c r="AM68" i="3"/>
  <c r="AM69" i="3"/>
  <c r="AM70" i="3"/>
  <c r="AM71" i="3"/>
  <c r="AM72" i="3"/>
  <c r="AM73" i="3"/>
  <c r="AM74" i="3"/>
  <c r="AM75" i="3"/>
  <c r="AM76" i="3"/>
  <c r="AM77" i="3"/>
  <c r="AM78" i="3"/>
  <c r="AM79" i="3"/>
  <c r="AM80" i="3"/>
  <c r="AM81" i="3"/>
  <c r="AL2" i="3"/>
  <c r="AL3" i="3"/>
  <c r="AL4" i="3"/>
  <c r="AL5" i="3"/>
  <c r="AL6" i="3"/>
  <c r="AL7" i="3"/>
  <c r="AL8" i="3"/>
  <c r="AL9" i="3"/>
  <c r="AL10" i="3"/>
  <c r="AL11" i="3"/>
  <c r="AL12" i="3"/>
  <c r="AL13" i="3"/>
  <c r="AL14" i="3"/>
  <c r="AL15" i="3"/>
  <c r="AL16" i="3"/>
  <c r="AL17" i="3"/>
  <c r="AL18" i="3"/>
  <c r="AL19" i="3"/>
  <c r="AL20" i="3"/>
  <c r="AL21" i="3"/>
  <c r="AL22" i="3"/>
  <c r="AL23" i="3"/>
  <c r="AL24" i="3"/>
  <c r="AL25" i="3"/>
  <c r="AL26" i="3"/>
  <c r="AL27" i="3"/>
  <c r="AL28" i="3"/>
  <c r="AL29" i="3"/>
  <c r="AL30" i="3"/>
  <c r="AL31" i="3"/>
  <c r="AL32" i="3"/>
  <c r="AL33" i="3"/>
  <c r="AL34" i="3"/>
  <c r="AL35" i="3"/>
  <c r="AL36" i="3"/>
  <c r="AL37" i="3"/>
  <c r="AL38" i="3"/>
  <c r="AL39" i="3"/>
  <c r="AL40" i="3"/>
  <c r="AL41" i="3"/>
  <c r="AL42" i="3"/>
  <c r="AL43" i="3"/>
  <c r="AL44" i="3"/>
  <c r="AL45" i="3"/>
  <c r="AL46" i="3"/>
  <c r="AL47" i="3"/>
  <c r="AL48" i="3"/>
  <c r="AL49" i="3"/>
  <c r="AL50" i="3"/>
  <c r="AL51" i="3"/>
  <c r="AL52" i="3"/>
  <c r="AL53" i="3"/>
  <c r="AL54" i="3"/>
  <c r="AL55" i="3"/>
  <c r="AL56" i="3"/>
  <c r="AL57" i="3"/>
  <c r="AL58" i="3"/>
  <c r="AL59" i="3"/>
  <c r="AL60" i="3"/>
  <c r="AL61" i="3"/>
  <c r="AL62" i="3"/>
  <c r="AL63" i="3"/>
  <c r="AL64" i="3"/>
  <c r="AL65" i="3"/>
  <c r="AL66" i="3"/>
  <c r="AL67" i="3"/>
  <c r="AL68" i="3"/>
  <c r="AL69" i="3"/>
  <c r="AL70" i="3"/>
  <c r="AL71" i="3"/>
  <c r="AL72" i="3"/>
  <c r="AL73" i="3"/>
  <c r="AL74" i="3"/>
  <c r="AL75" i="3"/>
  <c r="AL76" i="3"/>
  <c r="AL77" i="3"/>
  <c r="AL78" i="3"/>
  <c r="AL79" i="3"/>
  <c r="AL80" i="3"/>
  <c r="AL81" i="3"/>
  <c r="AK2" i="3"/>
  <c r="AK3" i="3"/>
  <c r="AK4" i="3"/>
  <c r="AK5" i="3"/>
  <c r="AK6" i="3"/>
  <c r="AK7" i="3"/>
  <c r="AK8" i="3"/>
  <c r="AK9" i="3"/>
  <c r="AK10" i="3"/>
  <c r="AK11" i="3"/>
  <c r="AK12" i="3"/>
  <c r="AK13" i="3"/>
  <c r="AK14" i="3"/>
  <c r="AK15" i="3"/>
  <c r="AK16" i="3"/>
  <c r="AK17" i="3"/>
  <c r="AK18" i="3"/>
  <c r="AK19" i="3"/>
  <c r="AK20" i="3"/>
  <c r="AK21" i="3"/>
  <c r="AK22" i="3"/>
  <c r="AK23" i="3"/>
  <c r="AK24" i="3"/>
  <c r="AK25" i="3"/>
  <c r="AK26" i="3"/>
  <c r="AK27" i="3"/>
  <c r="AK28" i="3"/>
  <c r="AK29" i="3"/>
  <c r="AK30" i="3"/>
  <c r="AK31" i="3"/>
  <c r="AK32" i="3"/>
  <c r="AK33" i="3"/>
  <c r="AK34" i="3"/>
  <c r="AK35" i="3"/>
  <c r="AK36" i="3"/>
  <c r="AK37" i="3"/>
  <c r="AK38" i="3"/>
  <c r="AK39" i="3"/>
  <c r="AK40" i="3"/>
  <c r="AK41" i="3"/>
  <c r="AK42" i="3"/>
  <c r="AK43" i="3"/>
  <c r="AK44" i="3"/>
  <c r="AK45" i="3"/>
  <c r="AK46" i="3"/>
  <c r="AK47" i="3"/>
  <c r="AK48" i="3"/>
  <c r="AK49" i="3"/>
  <c r="AK50" i="3"/>
  <c r="AK51" i="3"/>
  <c r="AK52" i="3"/>
  <c r="AK53" i="3"/>
  <c r="AK54" i="3"/>
  <c r="AK55" i="3"/>
  <c r="AK56" i="3"/>
  <c r="AK57" i="3"/>
  <c r="AK58" i="3"/>
  <c r="AK59" i="3"/>
  <c r="AK60" i="3"/>
  <c r="AK61" i="3"/>
  <c r="AK62" i="3"/>
  <c r="AK63" i="3"/>
  <c r="AK64" i="3"/>
  <c r="AK65" i="3"/>
  <c r="AK66" i="3"/>
  <c r="AK67" i="3"/>
  <c r="AK68" i="3"/>
  <c r="AK69" i="3"/>
  <c r="AK70" i="3"/>
  <c r="AK71" i="3"/>
  <c r="AK72" i="3"/>
  <c r="AK73" i="3"/>
  <c r="AK74" i="3"/>
  <c r="AK75" i="3"/>
  <c r="AK76" i="3"/>
  <c r="AK77" i="3"/>
  <c r="AK78" i="3"/>
  <c r="AK79" i="3"/>
  <c r="AK80" i="3"/>
  <c r="AK81" i="3"/>
  <c r="AR2" i="3"/>
  <c r="AR3" i="3"/>
  <c r="AR4" i="3"/>
  <c r="AR5" i="3"/>
  <c r="AR6" i="3"/>
  <c r="AR7" i="3"/>
  <c r="AR8" i="3"/>
  <c r="AR9" i="3"/>
  <c r="AR10" i="3"/>
  <c r="AR11" i="3"/>
  <c r="AR12" i="3"/>
  <c r="AR13" i="3"/>
  <c r="AR14" i="3"/>
  <c r="AR15" i="3"/>
  <c r="AR16" i="3"/>
  <c r="AR17" i="3"/>
  <c r="AR18" i="3"/>
  <c r="AR19" i="3"/>
  <c r="AR20" i="3"/>
  <c r="AR21" i="3"/>
  <c r="AR22" i="3"/>
  <c r="AR23" i="3"/>
  <c r="AR24" i="3"/>
  <c r="AR25" i="3"/>
  <c r="AR26" i="3"/>
  <c r="AR27" i="3"/>
  <c r="AR28" i="3"/>
  <c r="AR29" i="3"/>
  <c r="AR30" i="3"/>
  <c r="AR31" i="3"/>
  <c r="AR32" i="3"/>
  <c r="AR33" i="3"/>
  <c r="AR34" i="3"/>
  <c r="AR35" i="3"/>
  <c r="AR36" i="3"/>
  <c r="AR37" i="3"/>
  <c r="AR38" i="3"/>
  <c r="AR39" i="3"/>
  <c r="AR40" i="3"/>
  <c r="AR41" i="3"/>
  <c r="AR42" i="3"/>
  <c r="AR43" i="3"/>
  <c r="AR44" i="3"/>
  <c r="AR45" i="3"/>
  <c r="AR46" i="3"/>
  <c r="AR47" i="3"/>
  <c r="AR48" i="3"/>
  <c r="AR49" i="3"/>
  <c r="AR50" i="3"/>
  <c r="AR51" i="3"/>
  <c r="AR52" i="3"/>
  <c r="AR53" i="3"/>
  <c r="AR54" i="3"/>
  <c r="AR55" i="3"/>
  <c r="AR56" i="3"/>
  <c r="AR57" i="3"/>
  <c r="AR58" i="3"/>
  <c r="AR59" i="3"/>
  <c r="AR60" i="3"/>
  <c r="AR61" i="3"/>
  <c r="AR62" i="3"/>
  <c r="AR63" i="3"/>
  <c r="AR64" i="3"/>
  <c r="AR65" i="3"/>
  <c r="AR66" i="3"/>
  <c r="AR67" i="3"/>
  <c r="AR68" i="3"/>
  <c r="AR69" i="3"/>
  <c r="AR70" i="3"/>
  <c r="AR71" i="3"/>
  <c r="AR72" i="3"/>
  <c r="AR73" i="3"/>
  <c r="AR74" i="3"/>
  <c r="AR75" i="3"/>
  <c r="AR76" i="3"/>
  <c r="AR78" i="3"/>
  <c r="AR79" i="3"/>
  <c r="AR80" i="3"/>
  <c r="AR81" i="3"/>
  <c r="AN2" i="3"/>
  <c r="AN3" i="3"/>
  <c r="AN4" i="3"/>
  <c r="AN5" i="3"/>
  <c r="AN6" i="3"/>
  <c r="AN7" i="3"/>
  <c r="AN8" i="3"/>
  <c r="AN9" i="3"/>
  <c r="AN10" i="3"/>
  <c r="AN11" i="3"/>
  <c r="AN12" i="3"/>
  <c r="AN13" i="3"/>
  <c r="AN14" i="3"/>
  <c r="AN15" i="3"/>
  <c r="AN16" i="3"/>
  <c r="AN17" i="3"/>
  <c r="AN18" i="3"/>
  <c r="AN19" i="3"/>
  <c r="AN20" i="3"/>
  <c r="AN21" i="3"/>
  <c r="AN22" i="3"/>
  <c r="AN23" i="3"/>
  <c r="AN24" i="3"/>
  <c r="AN25" i="3"/>
  <c r="AN26" i="3"/>
  <c r="AN27" i="3"/>
  <c r="AN28" i="3"/>
  <c r="AN29" i="3"/>
  <c r="AN30" i="3"/>
  <c r="AN31" i="3"/>
  <c r="AN32" i="3"/>
  <c r="AN33" i="3"/>
  <c r="AN34" i="3"/>
  <c r="AN35" i="3"/>
  <c r="AN36" i="3"/>
  <c r="AN37" i="3"/>
  <c r="AN38" i="3"/>
  <c r="AN39" i="3"/>
  <c r="AN40" i="3"/>
  <c r="AN41" i="3"/>
  <c r="AN42" i="3"/>
  <c r="AN43" i="3"/>
  <c r="AN44" i="3"/>
  <c r="AN45" i="3"/>
  <c r="AN46" i="3"/>
  <c r="AN47" i="3"/>
  <c r="AN48" i="3"/>
  <c r="AN49" i="3"/>
  <c r="AN50" i="3"/>
  <c r="AN51" i="3"/>
  <c r="AN52" i="3"/>
  <c r="AN53" i="3"/>
  <c r="AN54" i="3"/>
  <c r="AN55" i="3"/>
  <c r="AN56" i="3"/>
  <c r="AN57" i="3"/>
  <c r="AN58" i="3"/>
  <c r="AN59" i="3"/>
  <c r="AN60" i="3"/>
  <c r="AN61" i="3"/>
  <c r="AN62" i="3"/>
  <c r="AN63" i="3"/>
  <c r="AN64" i="3"/>
  <c r="AN65" i="3"/>
  <c r="AN66" i="3"/>
  <c r="AN67" i="3"/>
  <c r="AN68" i="3"/>
  <c r="AN69" i="3"/>
  <c r="AN70" i="3"/>
  <c r="AN71" i="3"/>
  <c r="AN72" i="3"/>
  <c r="AN73" i="3"/>
  <c r="AN74" i="3"/>
  <c r="AN75" i="3"/>
  <c r="AN76" i="3"/>
  <c r="AN78" i="3"/>
  <c r="AN79" i="3"/>
  <c r="AN80" i="3"/>
  <c r="AN81" i="3"/>
  <c r="V2" i="3"/>
  <c r="V3" i="3"/>
  <c r="V4" i="3"/>
  <c r="V5" i="3"/>
  <c r="V6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G73" i="4" a="1"/>
  <c r="G73" i="4" s="1"/>
  <c r="AA4" i="4" l="1"/>
  <c r="AJ4" i="3" s="1"/>
  <c r="AB4" i="4"/>
  <c r="AA16" i="4"/>
  <c r="AB16" i="4"/>
  <c r="AA5" i="4"/>
  <c r="AJ5" i="3" s="1"/>
  <c r="AB5" i="4"/>
  <c r="AA3" i="4"/>
  <c r="AJ3" i="3" s="1"/>
  <c r="AB3" i="4"/>
  <c r="AA15" i="4"/>
  <c r="AB15" i="4"/>
  <c r="AA10" i="4"/>
  <c r="AB10" i="4"/>
  <c r="AA17" i="4"/>
  <c r="AB17" i="4"/>
  <c r="AA22" i="4"/>
  <c r="AB22" i="4"/>
  <c r="AA2" i="4"/>
  <c r="AJ2" i="3" s="1"/>
  <c r="AB2" i="4"/>
  <c r="AA14" i="4"/>
  <c r="AB14" i="4"/>
  <c r="AA9" i="4"/>
  <c r="AB9" i="4"/>
  <c r="AA73" i="4"/>
  <c r="AJ76" i="3" s="1"/>
  <c r="AB73" i="4"/>
  <c r="AA11" i="4"/>
  <c r="AB11" i="4"/>
  <c r="AA21" i="4"/>
  <c r="AB21" i="4"/>
  <c r="AA13" i="4"/>
  <c r="AB13" i="4"/>
  <c r="AA8" i="4"/>
  <c r="AJ8" i="3" s="1"/>
  <c r="AB8" i="4"/>
  <c r="AA20" i="4"/>
  <c r="AB20" i="4"/>
  <c r="AA12" i="4"/>
  <c r="AB12" i="4"/>
  <c r="AA7" i="4"/>
  <c r="AJ7" i="3" s="1"/>
  <c r="AB7" i="4"/>
  <c r="AA19" i="4"/>
  <c r="AB19" i="4"/>
  <c r="AA33" i="4"/>
  <c r="AB33" i="4"/>
  <c r="AA32" i="4"/>
  <c r="AB32" i="4"/>
  <c r="AA31" i="4"/>
  <c r="AB31" i="4"/>
  <c r="AA30" i="4"/>
  <c r="AB30" i="4"/>
  <c r="AA29" i="4"/>
  <c r="AB29" i="4"/>
  <c r="AA28" i="4"/>
  <c r="AB28" i="4"/>
  <c r="AA24" i="4"/>
  <c r="AB24" i="4"/>
  <c r="AA27" i="4"/>
  <c r="AB27" i="4"/>
  <c r="AA25" i="4"/>
  <c r="AB25" i="4"/>
  <c r="AA23" i="4"/>
  <c r="AB23" i="4"/>
  <c r="AA6" i="4"/>
  <c r="AJ6" i="3" s="1"/>
  <c r="AB6" i="4"/>
  <c r="AA18" i="4"/>
  <c r="AB18" i="4"/>
  <c r="Y14" i="4"/>
  <c r="Z14" i="4"/>
  <c r="Y9" i="4"/>
  <c r="AH9" i="3" s="1"/>
  <c r="Z9" i="4"/>
  <c r="Y11" i="4"/>
  <c r="Z11" i="4"/>
  <c r="Y3" i="4"/>
  <c r="AH3" i="3" s="1"/>
  <c r="Z3" i="4"/>
  <c r="AI3" i="3" s="1"/>
  <c r="Y15" i="4"/>
  <c r="Z15" i="4"/>
  <c r="Y10" i="4"/>
  <c r="Z10" i="4"/>
  <c r="Y13" i="4"/>
  <c r="Z13" i="4"/>
  <c r="Y22" i="4"/>
  <c r="Z22" i="4"/>
  <c r="Y21" i="4"/>
  <c r="Z21" i="4"/>
  <c r="Y8" i="4"/>
  <c r="AH8" i="3" s="1"/>
  <c r="Z8" i="4"/>
  <c r="AI8" i="3" s="1"/>
  <c r="Y20" i="4"/>
  <c r="Z20" i="4"/>
  <c r="Y12" i="4"/>
  <c r="Z12" i="4"/>
  <c r="Y7" i="4"/>
  <c r="AH7" i="3" s="1"/>
  <c r="Z7" i="4"/>
  <c r="AI7" i="3" s="1"/>
  <c r="Y19" i="4"/>
  <c r="Z19" i="4"/>
  <c r="Y33" i="4"/>
  <c r="Z33" i="4"/>
  <c r="Y32" i="4"/>
  <c r="Z32" i="4"/>
  <c r="Y31" i="4"/>
  <c r="Z31" i="4"/>
  <c r="Y30" i="4"/>
  <c r="Z30" i="4"/>
  <c r="Y29" i="4"/>
  <c r="Z29" i="4"/>
  <c r="Y28" i="4"/>
  <c r="Z28" i="4"/>
  <c r="Y24" i="4"/>
  <c r="Z24" i="4"/>
  <c r="Y27" i="4"/>
  <c r="Z27" i="4"/>
  <c r="Y25" i="4"/>
  <c r="Z25" i="4"/>
  <c r="Y23" i="4"/>
  <c r="Z23" i="4"/>
  <c r="Y6" i="4"/>
  <c r="AH6" i="3" s="1"/>
  <c r="Z6" i="4"/>
  <c r="AI6" i="3" s="1"/>
  <c r="Y18" i="4"/>
  <c r="Z18" i="4"/>
  <c r="Y73" i="4"/>
  <c r="AH76" i="3" s="1"/>
  <c r="Z73" i="4"/>
  <c r="AI76" i="3" s="1"/>
  <c r="Y5" i="4"/>
  <c r="AH5" i="3" s="1"/>
  <c r="Z5" i="4"/>
  <c r="AI5" i="3" s="1"/>
  <c r="Y17" i="4"/>
  <c r="Z17" i="4"/>
  <c r="Y2" i="4"/>
  <c r="AH2" i="3" s="1"/>
  <c r="Z2" i="4"/>
  <c r="AI2" i="3" s="1"/>
  <c r="Y4" i="4"/>
  <c r="AH4" i="3" s="1"/>
  <c r="Z4" i="4"/>
  <c r="AI4" i="3" s="1"/>
  <c r="Y16" i="4"/>
  <c r="Z16" i="4"/>
  <c r="V2" i="4"/>
  <c r="AF2" i="3" s="1"/>
  <c r="X2" i="4"/>
  <c r="AG2" i="3" s="1"/>
  <c r="W2" i="4"/>
  <c r="V14" i="4"/>
  <c r="W14" i="4"/>
  <c r="X14" i="4"/>
  <c r="V9" i="4"/>
  <c r="AF9" i="3" s="1"/>
  <c r="X9" i="4"/>
  <c r="W9" i="4"/>
  <c r="V3" i="4"/>
  <c r="AF3" i="3" s="1"/>
  <c r="X3" i="4"/>
  <c r="AG3" i="3" s="1"/>
  <c r="W3" i="4"/>
  <c r="V11" i="4"/>
  <c r="X11" i="4"/>
  <c r="W11" i="4"/>
  <c r="V21" i="4"/>
  <c r="AF21" i="3" s="1"/>
  <c r="X21" i="4"/>
  <c r="AG21" i="3" s="1"/>
  <c r="W21" i="4"/>
  <c r="V13" i="4"/>
  <c r="X13" i="4"/>
  <c r="W13" i="4"/>
  <c r="V10" i="4"/>
  <c r="X10" i="4"/>
  <c r="W10" i="4"/>
  <c r="V8" i="4"/>
  <c r="AF8" i="3" s="1"/>
  <c r="X8" i="4"/>
  <c r="AG8" i="3" s="1"/>
  <c r="W8" i="4"/>
  <c r="V20" i="4"/>
  <c r="X20" i="4"/>
  <c r="W20" i="4"/>
  <c r="V12" i="4"/>
  <c r="X12" i="4"/>
  <c r="W12" i="4"/>
  <c r="V15" i="4"/>
  <c r="X15" i="4"/>
  <c r="W15" i="4"/>
  <c r="V7" i="4"/>
  <c r="AF7" i="3" s="1"/>
  <c r="X7" i="4"/>
  <c r="AG7" i="3" s="1"/>
  <c r="W7" i="4"/>
  <c r="V19" i="4"/>
  <c r="X19" i="4"/>
  <c r="W19" i="4"/>
  <c r="V33" i="4"/>
  <c r="X33" i="4"/>
  <c r="W33" i="4"/>
  <c r="V32" i="4"/>
  <c r="X32" i="4"/>
  <c r="W32" i="4"/>
  <c r="V31" i="4"/>
  <c r="X31" i="4"/>
  <c r="W31" i="4"/>
  <c r="V30" i="4"/>
  <c r="X30" i="4"/>
  <c r="W30" i="4"/>
  <c r="V29" i="4"/>
  <c r="X29" i="4"/>
  <c r="W29" i="4"/>
  <c r="V28" i="4"/>
  <c r="X28" i="4"/>
  <c r="W28" i="4"/>
  <c r="V24" i="4"/>
  <c r="X24" i="4"/>
  <c r="W24" i="4"/>
  <c r="V27" i="4"/>
  <c r="X27" i="4"/>
  <c r="W27" i="4"/>
  <c r="V25" i="4"/>
  <c r="X25" i="4"/>
  <c r="W25" i="4"/>
  <c r="V23" i="4"/>
  <c r="X23" i="4"/>
  <c r="W23" i="4"/>
  <c r="V6" i="4"/>
  <c r="AF6" i="3" s="1"/>
  <c r="W6" i="4"/>
  <c r="X6" i="4"/>
  <c r="AG6" i="3" s="1"/>
  <c r="V18" i="4"/>
  <c r="X18" i="4"/>
  <c r="W18" i="4"/>
  <c r="X73" i="4"/>
  <c r="AG76" i="3" s="1"/>
  <c r="W73" i="4"/>
  <c r="V5" i="4"/>
  <c r="AF5" i="3" s="1"/>
  <c r="X5" i="4"/>
  <c r="AG5" i="3" s="1"/>
  <c r="W5" i="4"/>
  <c r="V17" i="4"/>
  <c r="X17" i="4"/>
  <c r="W17" i="4"/>
  <c r="V22" i="4"/>
  <c r="X22" i="4"/>
  <c r="W22" i="4"/>
  <c r="V4" i="4"/>
  <c r="AF4" i="3" s="1"/>
  <c r="X4" i="4"/>
  <c r="AG4" i="3" s="1"/>
  <c r="W4" i="4"/>
  <c r="V16" i="4"/>
  <c r="X16" i="4"/>
  <c r="W16" i="4"/>
  <c r="V73" i="4"/>
  <c r="AF76" i="3" s="1"/>
  <c r="AH21" i="3"/>
  <c r="AI21" i="3"/>
  <c r="U2" i="3"/>
  <c r="U3" i="3"/>
  <c r="U4" i="3"/>
  <c r="U5" i="3"/>
  <c r="U6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F3" i="2"/>
  <c r="F4" i="2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AJ11" i="3" l="1"/>
  <c r="AJ19" i="3"/>
  <c r="AI9" i="3"/>
  <c r="AI17" i="3"/>
  <c r="AJ21" i="3"/>
  <c r="AF20" i="3"/>
  <c r="AH16" i="3"/>
  <c r="AJ12" i="3"/>
  <c r="AJ9" i="3"/>
  <c r="AH14" i="3"/>
  <c r="AH18" i="3"/>
  <c r="AG20" i="3"/>
  <c r="AG10" i="3"/>
  <c r="AI20" i="3"/>
  <c r="AI13" i="3"/>
  <c r="AF18" i="3"/>
  <c r="AJ16" i="3"/>
  <c r="AH10" i="3"/>
  <c r="AG11" i="3"/>
  <c r="AI16" i="3"/>
  <c r="AG14" i="3"/>
  <c r="AJ20" i="3"/>
  <c r="AF17" i="3"/>
  <c r="AJ10" i="3"/>
  <c r="AH17" i="3"/>
  <c r="AF16" i="3"/>
  <c r="AG9" i="3"/>
  <c r="AF10" i="3"/>
  <c r="AI12" i="3"/>
  <c r="AJ13" i="3"/>
  <c r="AG13" i="3"/>
  <c r="AF15" i="3"/>
  <c r="AG16" i="3"/>
  <c r="AG19" i="3"/>
  <c r="AF14" i="3"/>
  <c r="AH15" i="3"/>
  <c r="AI10" i="3"/>
  <c r="AJ17" i="3"/>
  <c r="AH11" i="3"/>
  <c r="AH13" i="3"/>
  <c r="AF12" i="3"/>
  <c r="AG15" i="3"/>
  <c r="AG17" i="3"/>
  <c r="AG18" i="3"/>
  <c r="AI19" i="3"/>
  <c r="AJ15" i="3"/>
  <c r="AJ18" i="3"/>
  <c r="AF19" i="3"/>
  <c r="AJ14" i="3"/>
  <c r="AH12" i="3"/>
  <c r="AH19" i="3"/>
  <c r="AI15" i="3"/>
  <c r="AH20" i="3"/>
  <c r="AI11" i="3"/>
  <c r="AG12" i="3"/>
  <c r="AI14" i="3"/>
  <c r="AI18" i="3"/>
  <c r="AF11" i="3"/>
  <c r="AF13" i="3"/>
  <c r="I2" i="6" l="1" a="1"/>
  <c r="I2" i="6" s="1"/>
  <c r="I3" i="6" a="1"/>
  <c r="I3" i="6" s="1"/>
  <c r="I4" i="6" a="1"/>
  <c r="I4" i="6" s="1"/>
  <c r="I5" i="6" a="1"/>
  <c r="I5" i="6" s="1"/>
  <c r="I6" i="6" a="1"/>
  <c r="I6" i="6" s="1"/>
  <c r="I7" i="6" a="1"/>
  <c r="I7" i="6" s="1"/>
  <c r="I8" i="6" a="1"/>
  <c r="I8" i="6" s="1"/>
  <c r="I9" i="6" a="1"/>
  <c r="I9" i="6" s="1"/>
  <c r="I10" i="6" a="1"/>
  <c r="I10" i="6" s="1"/>
  <c r="I11" i="6" a="1"/>
  <c r="I11" i="6" s="1"/>
  <c r="I12" i="6" a="1"/>
  <c r="I12" i="6" s="1"/>
  <c r="I13" i="6" a="1"/>
  <c r="I13" i="6" s="1"/>
  <c r="I14" i="6" a="1"/>
  <c r="I14" i="6" s="1"/>
  <c r="I15" i="6" a="1"/>
  <c r="I15" i="6" s="1"/>
  <c r="I16" i="6" a="1"/>
  <c r="I16" i="6" s="1"/>
  <c r="I17" i="6" a="1"/>
  <c r="I17" i="6" s="1"/>
  <c r="I18" i="6" a="1"/>
  <c r="I18" i="6" s="1"/>
  <c r="I19" i="6" a="1"/>
  <c r="I19" i="6" s="1"/>
  <c r="I20" i="6" a="1"/>
  <c r="I20" i="6" s="1"/>
  <c r="I21" i="6" a="1"/>
  <c r="I21" i="6" s="1"/>
  <c r="I22" i="6" a="1"/>
  <c r="I22" i="6" s="1"/>
  <c r="I23" i="6" a="1"/>
  <c r="I23" i="6" s="1"/>
  <c r="I24" i="6" a="1"/>
  <c r="I24" i="6" s="1"/>
  <c r="I25" i="6" a="1"/>
  <c r="I25" i="6" s="1"/>
  <c r="I26" i="6" a="1"/>
  <c r="I26" i="6" s="1"/>
  <c r="I27" i="6" a="1"/>
  <c r="I27" i="6" s="1"/>
  <c r="I28" i="6" a="1"/>
  <c r="I28" i="6" s="1"/>
  <c r="I29" i="6" a="1"/>
  <c r="I29" i="6" s="1"/>
  <c r="I30" i="6" a="1"/>
  <c r="I30" i="6" s="1"/>
  <c r="I31" i="6" a="1"/>
  <c r="I31" i="6" s="1"/>
  <c r="I32" i="6" a="1"/>
  <c r="I32" i="6" s="1"/>
  <c r="I33" i="6" a="1"/>
  <c r="I33" i="6" s="1"/>
  <c r="I34" i="6" a="1"/>
  <c r="I34" i="6" s="1"/>
  <c r="I35" i="6" a="1"/>
  <c r="I35" i="6" s="1"/>
  <c r="I36" i="6" a="1"/>
  <c r="I36" i="6" s="1"/>
  <c r="I37" i="6" a="1"/>
  <c r="I37" i="6" s="1"/>
  <c r="I38" i="6" a="1"/>
  <c r="I38" i="6" s="1"/>
  <c r="I39" i="6" a="1"/>
  <c r="I39" i="6" s="1"/>
  <c r="I40" i="6" a="1"/>
  <c r="I40" i="6" s="1"/>
  <c r="I41" i="6" a="1"/>
  <c r="I41" i="6" s="1"/>
  <c r="I42" i="6" a="1"/>
  <c r="I42" i="6" s="1"/>
  <c r="I43" i="6" a="1"/>
  <c r="I43" i="6" s="1"/>
  <c r="I44" i="6" a="1"/>
  <c r="I44" i="6" s="1"/>
  <c r="I45" i="6" a="1"/>
  <c r="I45" i="6" s="1"/>
  <c r="I46" i="6" a="1"/>
  <c r="I46" i="6" s="1"/>
  <c r="I47" i="6" a="1"/>
  <c r="I47" i="6" s="1"/>
  <c r="I48" i="6" a="1"/>
  <c r="I48" i="6" s="1"/>
  <c r="I49" i="6" a="1"/>
  <c r="I49" i="6" s="1"/>
  <c r="I50" i="6" a="1"/>
  <c r="I50" i="6" s="1"/>
  <c r="I51" i="6" a="1"/>
  <c r="I51" i="6" s="1"/>
  <c r="I52" i="6" a="1"/>
  <c r="I52" i="6" s="1"/>
  <c r="I53" i="6" a="1"/>
  <c r="I53" i="6" s="1"/>
  <c r="I54" i="6" a="1"/>
  <c r="I54" i="6" s="1"/>
  <c r="I55" i="6" a="1"/>
  <c r="I55" i="6" s="1"/>
  <c r="I56" i="6" a="1"/>
  <c r="I56" i="6" s="1"/>
  <c r="I57" i="6" a="1"/>
  <c r="I57" i="6" s="1"/>
  <c r="I58" i="6" a="1"/>
  <c r="I58" i="6" s="1"/>
  <c r="I59" i="6" a="1"/>
  <c r="I59" i="6" s="1"/>
  <c r="I60" i="6" a="1"/>
  <c r="I60" i="6" s="1"/>
  <c r="I61" i="6" a="1"/>
  <c r="I61" i="6" s="1"/>
  <c r="I62" i="6" a="1"/>
  <c r="I62" i="6" s="1"/>
  <c r="I63" i="6" a="1"/>
  <c r="I63" i="6" s="1"/>
  <c r="I64" i="6" a="1"/>
  <c r="I64" i="6" s="1"/>
  <c r="I65" i="6" a="1"/>
  <c r="I65" i="6" s="1"/>
  <c r="I66" i="6" a="1"/>
  <c r="I66" i="6" s="1"/>
  <c r="I67" i="6" a="1"/>
  <c r="I67" i="6" s="1"/>
  <c r="I68" i="6" a="1"/>
  <c r="I68" i="6" s="1"/>
  <c r="I69" i="6" a="1"/>
  <c r="I69" i="6" s="1"/>
  <c r="I70" i="6" a="1"/>
  <c r="I70" i="6" s="1"/>
  <c r="I71" i="6" a="1"/>
  <c r="I71" i="6" s="1"/>
  <c r="I72" i="6" a="1"/>
  <c r="I72" i="6" s="1"/>
  <c r="I73" i="6" a="1"/>
  <c r="I73" i="6" s="1"/>
  <c r="I74" i="6" a="1"/>
  <c r="I74" i="6" s="1"/>
  <c r="I75" i="6" a="1"/>
  <c r="I75" i="6" s="1"/>
  <c r="I76" i="6" a="1"/>
  <c r="I76" i="6" s="1"/>
  <c r="I77" i="6" a="1"/>
  <c r="I77" i="6" s="1"/>
  <c r="I78" i="6" a="1"/>
  <c r="I78" i="6" s="1"/>
  <c r="I79" i="6" a="1"/>
  <c r="I79" i="6" s="1"/>
  <c r="I80" i="6" a="1"/>
  <c r="I80" i="6" s="1"/>
  <c r="I81" i="6" a="1"/>
  <c r="I81" i="6" s="1"/>
  <c r="I2" i="5" a="1"/>
  <c r="I2" i="5" s="1"/>
  <c r="I3" i="5" a="1"/>
  <c r="I3" i="5" s="1"/>
  <c r="I4" i="5" a="1"/>
  <c r="I4" i="5" s="1"/>
  <c r="I5" i="5" a="1"/>
  <c r="I5" i="5" s="1"/>
  <c r="I6" i="5" a="1"/>
  <c r="I6" i="5" s="1"/>
  <c r="I7" i="5" a="1"/>
  <c r="I7" i="5" s="1"/>
  <c r="I8" i="5" a="1"/>
  <c r="I8" i="5" s="1"/>
  <c r="I9" i="5" a="1"/>
  <c r="I9" i="5" s="1"/>
  <c r="I10" i="5" a="1"/>
  <c r="I10" i="5" s="1"/>
  <c r="I11" i="5" a="1"/>
  <c r="I11" i="5" s="1"/>
  <c r="I12" i="5" a="1"/>
  <c r="I12" i="5" s="1"/>
  <c r="I13" i="5" a="1"/>
  <c r="I13" i="5" s="1"/>
  <c r="I14" i="5" a="1"/>
  <c r="I14" i="5" s="1"/>
  <c r="I15" i="5" a="1"/>
  <c r="I15" i="5" s="1"/>
  <c r="I16" i="5" a="1"/>
  <c r="I16" i="5" s="1"/>
  <c r="I17" i="5" a="1"/>
  <c r="I17" i="5" s="1"/>
  <c r="I18" i="5" a="1"/>
  <c r="I18" i="5" s="1"/>
  <c r="I19" i="5" a="1"/>
  <c r="I19" i="5" s="1"/>
  <c r="I20" i="5" a="1"/>
  <c r="I20" i="5" s="1"/>
  <c r="I21" i="5" a="1"/>
  <c r="I21" i="5" s="1"/>
  <c r="I22" i="5" a="1"/>
  <c r="I22" i="5" s="1"/>
  <c r="I23" i="5" a="1"/>
  <c r="I23" i="5" s="1"/>
  <c r="I24" i="5" a="1"/>
  <c r="I24" i="5" s="1"/>
  <c r="I25" i="5" a="1"/>
  <c r="I25" i="5" s="1"/>
  <c r="I26" i="5" a="1"/>
  <c r="I26" i="5" s="1"/>
  <c r="I27" i="5" a="1"/>
  <c r="I27" i="5" s="1"/>
  <c r="I28" i="5" a="1"/>
  <c r="I28" i="5" s="1"/>
  <c r="I29" i="5" a="1"/>
  <c r="I29" i="5" s="1"/>
  <c r="I30" i="5" a="1"/>
  <c r="I30" i="5" s="1"/>
  <c r="I31" i="5" a="1"/>
  <c r="I31" i="5" s="1"/>
  <c r="I32" i="5" a="1"/>
  <c r="I32" i="5" s="1"/>
  <c r="I33" i="5" a="1"/>
  <c r="I33" i="5" s="1"/>
  <c r="I34" i="5" a="1"/>
  <c r="I34" i="5" s="1"/>
  <c r="I35" i="5" a="1"/>
  <c r="I35" i="5" s="1"/>
  <c r="I36" i="5" a="1"/>
  <c r="I36" i="5" s="1"/>
  <c r="I37" i="5" a="1"/>
  <c r="I37" i="5" s="1"/>
  <c r="I38" i="5" a="1"/>
  <c r="I38" i="5" s="1"/>
  <c r="I39" i="5" a="1"/>
  <c r="I39" i="5" s="1"/>
  <c r="I40" i="5" a="1"/>
  <c r="I40" i="5" s="1"/>
  <c r="I41" i="5" a="1"/>
  <c r="I41" i="5" s="1"/>
  <c r="I42" i="5" a="1"/>
  <c r="I42" i="5" s="1"/>
  <c r="I43" i="5" a="1"/>
  <c r="I43" i="5" s="1"/>
  <c r="I44" i="5" a="1"/>
  <c r="I44" i="5" s="1"/>
  <c r="I45" i="5" a="1"/>
  <c r="I45" i="5" s="1"/>
  <c r="I46" i="5" a="1"/>
  <c r="I46" i="5" s="1"/>
  <c r="I47" i="5" a="1"/>
  <c r="I47" i="5" s="1"/>
  <c r="I48" i="5" a="1"/>
  <c r="I48" i="5" s="1"/>
  <c r="I49" i="5" a="1"/>
  <c r="I49" i="5" s="1"/>
  <c r="I50" i="5" a="1"/>
  <c r="I50" i="5" s="1"/>
  <c r="I51" i="5" a="1"/>
  <c r="I51" i="5" s="1"/>
  <c r="I52" i="5" a="1"/>
  <c r="I52" i="5" s="1"/>
  <c r="I53" i="5" a="1"/>
  <c r="I53" i="5" s="1"/>
  <c r="I54" i="5" a="1"/>
  <c r="I54" i="5" s="1"/>
  <c r="I55" i="5" a="1"/>
  <c r="I55" i="5" s="1"/>
  <c r="I56" i="5" a="1"/>
  <c r="I56" i="5" s="1"/>
  <c r="I57" i="5" a="1"/>
  <c r="I57" i="5" s="1"/>
  <c r="I58" i="5" a="1"/>
  <c r="I58" i="5" s="1"/>
  <c r="I59" i="5" a="1"/>
  <c r="I59" i="5" s="1"/>
  <c r="I60" i="5" a="1"/>
  <c r="I60" i="5" s="1"/>
  <c r="I61" i="5" a="1"/>
  <c r="I61" i="5" s="1"/>
  <c r="I62" i="5" a="1"/>
  <c r="I62" i="5" s="1"/>
  <c r="I63" i="5" a="1"/>
  <c r="I63" i="5" s="1"/>
  <c r="I64" i="5" a="1"/>
  <c r="I64" i="5" s="1"/>
  <c r="I65" i="5" a="1"/>
  <c r="I65" i="5" s="1"/>
  <c r="I66" i="5" a="1"/>
  <c r="I66" i="5" s="1"/>
  <c r="I67" i="5" a="1"/>
  <c r="I67" i="5" s="1"/>
  <c r="I68" i="5" a="1"/>
  <c r="I68" i="5" s="1"/>
  <c r="I69" i="5" a="1"/>
  <c r="I69" i="5" s="1"/>
  <c r="I70" i="5" a="1"/>
  <c r="I70" i="5" s="1"/>
  <c r="I71" i="5" a="1"/>
  <c r="I71" i="5" s="1"/>
  <c r="I72" i="5" a="1"/>
  <c r="I72" i="5" s="1"/>
  <c r="I73" i="5" a="1"/>
  <c r="I73" i="5" s="1"/>
  <c r="I74" i="5" a="1"/>
  <c r="I74" i="5" s="1"/>
  <c r="I75" i="5" a="1"/>
  <c r="I75" i="5" s="1"/>
  <c r="I76" i="5" a="1"/>
  <c r="I76" i="5" s="1"/>
  <c r="I77" i="5" a="1"/>
  <c r="I77" i="5" s="1"/>
  <c r="I78" i="5" a="1"/>
  <c r="I78" i="5" s="1"/>
  <c r="I79" i="5" a="1"/>
  <c r="I79" i="5" s="1"/>
  <c r="I80" i="5" a="1"/>
  <c r="I80" i="5" s="1"/>
  <c r="I81" i="5" a="1"/>
  <c r="I81" i="5" s="1"/>
  <c r="I34" i="4" a="1"/>
  <c r="I34" i="4" s="1"/>
  <c r="I35" i="4" a="1"/>
  <c r="I35" i="4" s="1"/>
  <c r="I36" i="4" a="1"/>
  <c r="I36" i="4" s="1"/>
  <c r="I37" i="4" a="1"/>
  <c r="I37" i="4" s="1"/>
  <c r="I38" i="4" a="1"/>
  <c r="I38" i="4" s="1"/>
  <c r="I39" i="4" a="1"/>
  <c r="I39" i="4" s="1"/>
  <c r="I40" i="4" a="1"/>
  <c r="I40" i="4" s="1"/>
  <c r="I41" i="4" a="1"/>
  <c r="I41" i="4" s="1"/>
  <c r="I42" i="4" a="1"/>
  <c r="I42" i="4" s="1"/>
  <c r="I43" i="4" a="1"/>
  <c r="I43" i="4" s="1"/>
  <c r="I44" i="4" a="1"/>
  <c r="I44" i="4" s="1"/>
  <c r="I45" i="4" a="1"/>
  <c r="I45" i="4" s="1"/>
  <c r="I46" i="4" a="1"/>
  <c r="I46" i="4" s="1"/>
  <c r="I47" i="4" a="1"/>
  <c r="I47" i="4" s="1"/>
  <c r="I48" i="4" a="1"/>
  <c r="I48" i="4" s="1"/>
  <c r="I49" i="4" a="1"/>
  <c r="I49" i="4" s="1"/>
  <c r="I50" i="4" a="1"/>
  <c r="I50" i="4" s="1"/>
  <c r="I51" i="4" a="1"/>
  <c r="I51" i="4" s="1"/>
  <c r="I52" i="4" a="1"/>
  <c r="I52" i="4" s="1"/>
  <c r="I53" i="4" a="1"/>
  <c r="I53" i="4" s="1"/>
  <c r="I55" i="4" a="1"/>
  <c r="I55" i="4" s="1"/>
  <c r="I56" i="4" a="1"/>
  <c r="I56" i="4" s="1"/>
  <c r="I57" i="4" a="1"/>
  <c r="I57" i="4" s="1"/>
  <c r="I58" i="4" a="1"/>
  <c r="I58" i="4" s="1"/>
  <c r="I59" i="4" a="1"/>
  <c r="I59" i="4" s="1"/>
  <c r="I60" i="4" a="1"/>
  <c r="I60" i="4" s="1"/>
  <c r="I61" i="4" a="1"/>
  <c r="I61" i="4" s="1"/>
  <c r="I54" i="4" a="1"/>
  <c r="I54" i="4" s="1"/>
  <c r="I62" i="4" a="1"/>
  <c r="I62" i="4" s="1"/>
  <c r="I63" i="4" a="1"/>
  <c r="I63" i="4" s="1"/>
  <c r="I64" i="4" a="1"/>
  <c r="I64" i="4" s="1"/>
  <c r="I65" i="4" a="1"/>
  <c r="I65" i="4" s="1"/>
  <c r="I66" i="4" a="1"/>
  <c r="I66" i="4" s="1"/>
  <c r="I67" i="4" a="1"/>
  <c r="I67" i="4" s="1"/>
  <c r="I68" i="4" a="1"/>
  <c r="I68" i="4" s="1"/>
  <c r="I70" i="4" a="1"/>
  <c r="I70" i="4" s="1"/>
  <c r="I72" i="4" a="1"/>
  <c r="I72" i="4" s="1"/>
  <c r="I74" i="4" a="1"/>
  <c r="I74" i="4" s="1"/>
  <c r="I75" i="4" a="1"/>
  <c r="I75" i="4" s="1"/>
  <c r="I76" i="4" a="1"/>
  <c r="I76" i="4" s="1"/>
  <c r="I69" i="4" a="1"/>
  <c r="I69" i="4" s="1"/>
  <c r="I77" i="4" a="1"/>
  <c r="I77" i="4" s="1"/>
  <c r="I73" i="4" a="1"/>
  <c r="I73" i="4" s="1"/>
  <c r="I26" i="4" a="1"/>
  <c r="I26" i="4" s="1"/>
  <c r="I71" i="4" a="1"/>
  <c r="I71" i="4" s="1"/>
  <c r="I78" i="4" a="1"/>
  <c r="I78" i="4" s="1"/>
  <c r="I79" i="4" a="1"/>
  <c r="I79" i="4" s="1"/>
  <c r="I80" i="4" a="1"/>
  <c r="I80" i="4" s="1"/>
  <c r="I81" i="4" a="1"/>
  <c r="I81" i="4" s="1"/>
  <c r="W2" i="3" l="1"/>
  <c r="W3" i="3"/>
  <c r="W4" i="3"/>
  <c r="W5" i="3"/>
  <c r="W6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T81" i="6" l="1"/>
  <c r="O81" i="3" s="1"/>
  <c r="B81" i="6" a="1"/>
  <c r="B81" i="6" s="1"/>
  <c r="C81" i="6" a="1"/>
  <c r="C81" i="6" s="1"/>
  <c r="D81" i="6" a="1"/>
  <c r="D81" i="6" s="1"/>
  <c r="E81" i="6" a="1"/>
  <c r="E81" i="6" s="1"/>
  <c r="F81" i="6" a="1"/>
  <c r="F81" i="6" s="1"/>
  <c r="G81" i="6" a="1"/>
  <c r="G81" i="6" s="1"/>
  <c r="H81" i="6" a="1"/>
  <c r="H81" i="6" s="1"/>
  <c r="H2" i="6" l="1" a="1"/>
  <c r="H2" i="6" s="1"/>
  <c r="H3" i="6" a="1"/>
  <c r="H3" i="6" s="1"/>
  <c r="H4" i="6" a="1"/>
  <c r="H4" i="6" s="1"/>
  <c r="H5" i="6" a="1"/>
  <c r="H5" i="6" s="1"/>
  <c r="H6" i="6" a="1"/>
  <c r="H6" i="6" s="1"/>
  <c r="H7" i="6" a="1"/>
  <c r="H7" i="6" s="1"/>
  <c r="H8" i="6" a="1"/>
  <c r="H8" i="6" s="1"/>
  <c r="H9" i="6" a="1"/>
  <c r="H9" i="6" s="1"/>
  <c r="H10" i="6" a="1"/>
  <c r="H10" i="6" s="1"/>
  <c r="H11" i="6" a="1"/>
  <c r="H11" i="6" s="1"/>
  <c r="H12" i="6" a="1"/>
  <c r="H12" i="6" s="1"/>
  <c r="H13" i="6" a="1"/>
  <c r="H13" i="6" s="1"/>
  <c r="H14" i="6" a="1"/>
  <c r="H14" i="6" s="1"/>
  <c r="H15" i="6" a="1"/>
  <c r="H15" i="6" s="1"/>
  <c r="H16" i="6" a="1"/>
  <c r="H16" i="6" s="1"/>
  <c r="H17" i="6" a="1"/>
  <c r="H17" i="6" s="1"/>
  <c r="H18" i="6" a="1"/>
  <c r="H18" i="6" s="1"/>
  <c r="H19" i="6" a="1"/>
  <c r="H19" i="6" s="1"/>
  <c r="H20" i="6" a="1"/>
  <c r="H20" i="6" s="1"/>
  <c r="H21" i="6" a="1"/>
  <c r="H21" i="6" s="1"/>
  <c r="H22" i="6" a="1"/>
  <c r="H22" i="6" s="1"/>
  <c r="H23" i="6" a="1"/>
  <c r="H23" i="6" s="1"/>
  <c r="H24" i="6" a="1"/>
  <c r="H24" i="6" s="1"/>
  <c r="H25" i="6" a="1"/>
  <c r="H25" i="6" s="1"/>
  <c r="H26" i="6" a="1"/>
  <c r="H26" i="6" s="1"/>
  <c r="H27" i="6" a="1"/>
  <c r="H27" i="6" s="1"/>
  <c r="H28" i="6" a="1"/>
  <c r="H28" i="6" s="1"/>
  <c r="H29" i="6" a="1"/>
  <c r="H29" i="6" s="1"/>
  <c r="H30" i="6" a="1"/>
  <c r="H30" i="6" s="1"/>
  <c r="H31" i="6" a="1"/>
  <c r="H31" i="6" s="1"/>
  <c r="H32" i="6" a="1"/>
  <c r="H32" i="6" s="1"/>
  <c r="H33" i="6" a="1"/>
  <c r="H33" i="6" s="1"/>
  <c r="H34" i="6" a="1"/>
  <c r="H34" i="6" s="1"/>
  <c r="H35" i="6" a="1"/>
  <c r="H35" i="6" s="1"/>
  <c r="H36" i="6" a="1"/>
  <c r="H36" i="6" s="1"/>
  <c r="H37" i="6" a="1"/>
  <c r="H37" i="6" s="1"/>
  <c r="H38" i="6" a="1"/>
  <c r="H38" i="6" s="1"/>
  <c r="H39" i="6" a="1"/>
  <c r="H39" i="6" s="1"/>
  <c r="H40" i="6" a="1"/>
  <c r="H40" i="6" s="1"/>
  <c r="H41" i="6" a="1"/>
  <c r="H41" i="6" s="1"/>
  <c r="H42" i="6" a="1"/>
  <c r="H42" i="6" s="1"/>
  <c r="H43" i="6" a="1"/>
  <c r="H43" i="6" s="1"/>
  <c r="H44" i="6" a="1"/>
  <c r="H44" i="6" s="1"/>
  <c r="H45" i="6" a="1"/>
  <c r="H45" i="6" s="1"/>
  <c r="H46" i="6" a="1"/>
  <c r="H46" i="6" s="1"/>
  <c r="H47" i="6" a="1"/>
  <c r="H47" i="6" s="1"/>
  <c r="H48" i="6" a="1"/>
  <c r="H48" i="6" s="1"/>
  <c r="H49" i="6" a="1"/>
  <c r="H49" i="6" s="1"/>
  <c r="H50" i="6" a="1"/>
  <c r="H50" i="6" s="1"/>
  <c r="H51" i="6" a="1"/>
  <c r="H51" i="6" s="1"/>
  <c r="H52" i="6" a="1"/>
  <c r="H52" i="6" s="1"/>
  <c r="H53" i="6" a="1"/>
  <c r="H53" i="6" s="1"/>
  <c r="H54" i="6" a="1"/>
  <c r="H54" i="6" s="1"/>
  <c r="H55" i="6" a="1"/>
  <c r="H55" i="6" s="1"/>
  <c r="H56" i="6" a="1"/>
  <c r="H56" i="6" s="1"/>
  <c r="H57" i="6" a="1"/>
  <c r="H57" i="6" s="1"/>
  <c r="H58" i="6" a="1"/>
  <c r="H58" i="6" s="1"/>
  <c r="H59" i="6" a="1"/>
  <c r="H59" i="6" s="1"/>
  <c r="H60" i="6" a="1"/>
  <c r="H60" i="6" s="1"/>
  <c r="H61" i="6" a="1"/>
  <c r="H61" i="6" s="1"/>
  <c r="H62" i="6" a="1"/>
  <c r="H62" i="6" s="1"/>
  <c r="H63" i="6" a="1"/>
  <c r="H63" i="6" s="1"/>
  <c r="H64" i="6" a="1"/>
  <c r="H64" i="6" s="1"/>
  <c r="H65" i="6" a="1"/>
  <c r="H65" i="6" s="1"/>
  <c r="H66" i="6" a="1"/>
  <c r="H66" i="6" s="1"/>
  <c r="H67" i="6" a="1"/>
  <c r="H67" i="6" s="1"/>
  <c r="H68" i="6" a="1"/>
  <c r="H68" i="6" s="1"/>
  <c r="H69" i="6" a="1"/>
  <c r="H69" i="6" s="1"/>
  <c r="H70" i="6" a="1"/>
  <c r="H70" i="6" s="1"/>
  <c r="H71" i="6" a="1"/>
  <c r="H71" i="6" s="1"/>
  <c r="H72" i="6" a="1"/>
  <c r="H72" i="6" s="1"/>
  <c r="H73" i="6" a="1"/>
  <c r="H73" i="6" s="1"/>
  <c r="H74" i="6" a="1"/>
  <c r="H74" i="6" s="1"/>
  <c r="H75" i="6" a="1"/>
  <c r="H75" i="6" s="1"/>
  <c r="H76" i="6" a="1"/>
  <c r="H76" i="6" s="1"/>
  <c r="H77" i="6" a="1"/>
  <c r="H77" i="6" s="1"/>
  <c r="H78" i="6" a="1"/>
  <c r="H78" i="6" s="1"/>
  <c r="H79" i="6" a="1"/>
  <c r="H79" i="6" s="1"/>
  <c r="H80" i="6" a="1"/>
  <c r="H80" i="6" s="1"/>
  <c r="H2" i="5" a="1"/>
  <c r="H2" i="5" s="1"/>
  <c r="H3" i="5" a="1"/>
  <c r="H3" i="5" s="1"/>
  <c r="H4" i="5" a="1"/>
  <c r="H4" i="5" s="1"/>
  <c r="H5" i="5" a="1"/>
  <c r="H5" i="5" s="1"/>
  <c r="H6" i="5" a="1"/>
  <c r="H6" i="5" s="1"/>
  <c r="H7" i="5" a="1"/>
  <c r="H7" i="5" s="1"/>
  <c r="H8" i="5" a="1"/>
  <c r="H8" i="5" s="1"/>
  <c r="H9" i="5" a="1"/>
  <c r="H9" i="5" s="1"/>
  <c r="H10" i="5" a="1"/>
  <c r="H10" i="5" s="1"/>
  <c r="H11" i="5" a="1"/>
  <c r="H11" i="5" s="1"/>
  <c r="H12" i="5" a="1"/>
  <c r="H12" i="5" s="1"/>
  <c r="H13" i="5" a="1"/>
  <c r="H13" i="5" s="1"/>
  <c r="H14" i="5" a="1"/>
  <c r="H14" i="5" s="1"/>
  <c r="H15" i="5" a="1"/>
  <c r="H15" i="5" s="1"/>
  <c r="H16" i="5" a="1"/>
  <c r="H16" i="5" s="1"/>
  <c r="H17" i="5" a="1"/>
  <c r="H17" i="5" s="1"/>
  <c r="H18" i="5" a="1"/>
  <c r="H18" i="5" s="1"/>
  <c r="H19" i="5" a="1"/>
  <c r="H19" i="5" s="1"/>
  <c r="H20" i="5" a="1"/>
  <c r="H20" i="5" s="1"/>
  <c r="H21" i="5" a="1"/>
  <c r="H21" i="5" s="1"/>
  <c r="H22" i="5" a="1"/>
  <c r="H22" i="5" s="1"/>
  <c r="H23" i="5" a="1"/>
  <c r="H23" i="5" s="1"/>
  <c r="H24" i="5" a="1"/>
  <c r="H24" i="5" s="1"/>
  <c r="H25" i="5" a="1"/>
  <c r="H25" i="5" s="1"/>
  <c r="H26" i="5" a="1"/>
  <c r="H26" i="5" s="1"/>
  <c r="H27" i="5" a="1"/>
  <c r="H27" i="5" s="1"/>
  <c r="H28" i="5" a="1"/>
  <c r="H28" i="5" s="1"/>
  <c r="H29" i="5" a="1"/>
  <c r="H29" i="5" s="1"/>
  <c r="H30" i="5" a="1"/>
  <c r="H30" i="5" s="1"/>
  <c r="H31" i="5" a="1"/>
  <c r="H31" i="5" s="1"/>
  <c r="H32" i="5" a="1"/>
  <c r="H32" i="5" s="1"/>
  <c r="H33" i="5" a="1"/>
  <c r="H33" i="5" s="1"/>
  <c r="H34" i="5" a="1"/>
  <c r="H34" i="5" s="1"/>
  <c r="H35" i="5" a="1"/>
  <c r="H35" i="5" s="1"/>
  <c r="H36" i="5" a="1"/>
  <c r="H36" i="5" s="1"/>
  <c r="H37" i="5" a="1"/>
  <c r="H37" i="5" s="1"/>
  <c r="H38" i="5" a="1"/>
  <c r="H38" i="5" s="1"/>
  <c r="H39" i="5" a="1"/>
  <c r="H39" i="5" s="1"/>
  <c r="H40" i="5" a="1"/>
  <c r="H40" i="5" s="1"/>
  <c r="H41" i="5" a="1"/>
  <c r="H41" i="5" s="1"/>
  <c r="H42" i="5" a="1"/>
  <c r="H42" i="5" s="1"/>
  <c r="H43" i="5" a="1"/>
  <c r="H43" i="5" s="1"/>
  <c r="H44" i="5" a="1"/>
  <c r="H44" i="5" s="1"/>
  <c r="H45" i="5" a="1"/>
  <c r="H45" i="5" s="1"/>
  <c r="H46" i="5" a="1"/>
  <c r="H46" i="5" s="1"/>
  <c r="H47" i="5" a="1"/>
  <c r="H47" i="5" s="1"/>
  <c r="H48" i="5" a="1"/>
  <c r="H48" i="5" s="1"/>
  <c r="H49" i="5" a="1"/>
  <c r="H49" i="5" s="1"/>
  <c r="H50" i="5" a="1"/>
  <c r="H50" i="5" s="1"/>
  <c r="H51" i="5" a="1"/>
  <c r="H51" i="5" s="1"/>
  <c r="H52" i="5" a="1"/>
  <c r="H52" i="5" s="1"/>
  <c r="H53" i="5" a="1"/>
  <c r="H53" i="5" s="1"/>
  <c r="H54" i="5" a="1"/>
  <c r="H54" i="5" s="1"/>
  <c r="H55" i="5" a="1"/>
  <c r="H55" i="5" s="1"/>
  <c r="H56" i="5" a="1"/>
  <c r="H56" i="5" s="1"/>
  <c r="H57" i="5" a="1"/>
  <c r="H57" i="5" s="1"/>
  <c r="H58" i="5" a="1"/>
  <c r="H58" i="5" s="1"/>
  <c r="H59" i="5" a="1"/>
  <c r="H59" i="5" s="1"/>
  <c r="H60" i="5" a="1"/>
  <c r="H60" i="5" s="1"/>
  <c r="H61" i="5" a="1"/>
  <c r="H61" i="5" s="1"/>
  <c r="H62" i="5" a="1"/>
  <c r="H62" i="5" s="1"/>
  <c r="H63" i="5" a="1"/>
  <c r="H63" i="5" s="1"/>
  <c r="H64" i="5" a="1"/>
  <c r="H64" i="5" s="1"/>
  <c r="H65" i="5" a="1"/>
  <c r="H65" i="5" s="1"/>
  <c r="H66" i="5" a="1"/>
  <c r="H66" i="5" s="1"/>
  <c r="H67" i="5" a="1"/>
  <c r="H67" i="5" s="1"/>
  <c r="H68" i="5" a="1"/>
  <c r="H68" i="5" s="1"/>
  <c r="H69" i="5" a="1"/>
  <c r="H69" i="5" s="1"/>
  <c r="H70" i="5" a="1"/>
  <c r="H70" i="5" s="1"/>
  <c r="H71" i="5" a="1"/>
  <c r="H71" i="5" s="1"/>
  <c r="H72" i="5" a="1"/>
  <c r="H72" i="5" s="1"/>
  <c r="H73" i="5" a="1"/>
  <c r="H73" i="5" s="1"/>
  <c r="H74" i="5" a="1"/>
  <c r="H74" i="5" s="1"/>
  <c r="H75" i="5" a="1"/>
  <c r="H75" i="5" s="1"/>
  <c r="H76" i="5" a="1"/>
  <c r="H76" i="5" s="1"/>
  <c r="H77" i="5" a="1"/>
  <c r="H77" i="5" s="1"/>
  <c r="H78" i="5" a="1"/>
  <c r="H78" i="5" s="1"/>
  <c r="H79" i="5" a="1"/>
  <c r="H79" i="5" s="1"/>
  <c r="H80" i="5" a="1"/>
  <c r="H80" i="5" s="1"/>
  <c r="H81" i="5" a="1"/>
  <c r="H81" i="5" s="1"/>
  <c r="T55" i="6"/>
  <c r="O55" i="3" s="1"/>
  <c r="T56" i="6"/>
  <c r="O56" i="3" s="1"/>
  <c r="T57" i="6"/>
  <c r="O57" i="3" s="1"/>
  <c r="T58" i="6"/>
  <c r="O58" i="3" s="1"/>
  <c r="T59" i="6"/>
  <c r="O59" i="3" s="1"/>
  <c r="T60" i="6"/>
  <c r="O60" i="3" s="1"/>
  <c r="T61" i="6"/>
  <c r="O61" i="3" s="1"/>
  <c r="T62" i="6"/>
  <c r="O62" i="3" s="1"/>
  <c r="T63" i="6"/>
  <c r="O63" i="3" s="1"/>
  <c r="T64" i="6"/>
  <c r="O64" i="3" s="1"/>
  <c r="T65" i="6"/>
  <c r="O65" i="3" s="1"/>
  <c r="T66" i="6"/>
  <c r="O66" i="3" s="1"/>
  <c r="T67" i="6"/>
  <c r="O67" i="3" s="1"/>
  <c r="T68" i="6"/>
  <c r="O68" i="3" s="1"/>
  <c r="T69" i="6"/>
  <c r="O69" i="3" s="1"/>
  <c r="T70" i="6"/>
  <c r="O70" i="3" s="1"/>
  <c r="T71" i="6"/>
  <c r="O71" i="3" s="1"/>
  <c r="T72" i="6"/>
  <c r="O72" i="3" s="1"/>
  <c r="T73" i="6"/>
  <c r="O73" i="3" s="1"/>
  <c r="T74" i="6"/>
  <c r="O74" i="3" s="1"/>
  <c r="T75" i="6"/>
  <c r="O75" i="3" s="1"/>
  <c r="T77" i="6"/>
  <c r="O77" i="3" s="1"/>
  <c r="T78" i="6"/>
  <c r="O78" i="3" s="1"/>
  <c r="T79" i="6"/>
  <c r="O79" i="3" s="1"/>
  <c r="T80" i="6"/>
  <c r="O80" i="3" s="1"/>
  <c r="T76" i="6"/>
  <c r="O76" i="3" s="1"/>
  <c r="Z2" i="3" l="1"/>
  <c r="Z3" i="3"/>
  <c r="Z4" i="3"/>
  <c r="Z5" i="3"/>
  <c r="Z6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Y2" i="3"/>
  <c r="Y3" i="3"/>
  <c r="Y4" i="3"/>
  <c r="Y5" i="3"/>
  <c r="Y6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X2" i="3"/>
  <c r="X3" i="3"/>
  <c r="X4" i="3"/>
  <c r="X5" i="3"/>
  <c r="X6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H34" i="4" l="1" a="1"/>
  <c r="H34" i="4" s="1"/>
  <c r="H35" i="4" a="1"/>
  <c r="H35" i="4" s="1"/>
  <c r="H36" i="4" a="1"/>
  <c r="H36" i="4" s="1"/>
  <c r="H37" i="4" a="1"/>
  <c r="H37" i="4" s="1"/>
  <c r="H38" i="4" a="1"/>
  <c r="H38" i="4" s="1"/>
  <c r="H39" i="4" a="1"/>
  <c r="H39" i="4" s="1"/>
  <c r="H40" i="4" a="1"/>
  <c r="H40" i="4" s="1"/>
  <c r="H41" i="4" a="1"/>
  <c r="H41" i="4" s="1"/>
  <c r="H42" i="4" a="1"/>
  <c r="H42" i="4" s="1"/>
  <c r="H43" i="4" a="1"/>
  <c r="H43" i="4" s="1"/>
  <c r="H44" i="4" a="1"/>
  <c r="H44" i="4" s="1"/>
  <c r="H45" i="4" a="1"/>
  <c r="H45" i="4" s="1"/>
  <c r="H46" i="4" a="1"/>
  <c r="H46" i="4" s="1"/>
  <c r="H47" i="4" a="1"/>
  <c r="H47" i="4" s="1"/>
  <c r="H48" i="4" a="1"/>
  <c r="H48" i="4" s="1"/>
  <c r="H49" i="4" a="1"/>
  <c r="H49" i="4" s="1"/>
  <c r="H50" i="4" a="1"/>
  <c r="H50" i="4" s="1"/>
  <c r="H51" i="4" a="1"/>
  <c r="H51" i="4" s="1"/>
  <c r="H52" i="4" a="1"/>
  <c r="H52" i="4" s="1"/>
  <c r="H53" i="4" a="1"/>
  <c r="H53" i="4" s="1"/>
  <c r="H55" i="4" a="1"/>
  <c r="H55" i="4" s="1"/>
  <c r="H56" i="4" a="1"/>
  <c r="H56" i="4" s="1"/>
  <c r="H57" i="4" a="1"/>
  <c r="H57" i="4" s="1"/>
  <c r="H58" i="4" a="1"/>
  <c r="H58" i="4" s="1"/>
  <c r="H59" i="4" a="1"/>
  <c r="H59" i="4" s="1"/>
  <c r="H60" i="4" a="1"/>
  <c r="H60" i="4" s="1"/>
  <c r="H61" i="4" a="1"/>
  <c r="H61" i="4" s="1"/>
  <c r="H54" i="4" a="1"/>
  <c r="H54" i="4" s="1"/>
  <c r="H62" i="4" a="1"/>
  <c r="H62" i="4" s="1"/>
  <c r="H63" i="4" a="1"/>
  <c r="H63" i="4" s="1"/>
  <c r="H64" i="4" a="1"/>
  <c r="H64" i="4" s="1"/>
  <c r="H65" i="4" a="1"/>
  <c r="H65" i="4" s="1"/>
  <c r="H66" i="4" a="1"/>
  <c r="H66" i="4" s="1"/>
  <c r="H67" i="4" a="1"/>
  <c r="H67" i="4" s="1"/>
  <c r="H68" i="4" a="1"/>
  <c r="H68" i="4" s="1"/>
  <c r="H70" i="4" a="1"/>
  <c r="H70" i="4" s="1"/>
  <c r="H72" i="4" a="1"/>
  <c r="H72" i="4" s="1"/>
  <c r="H74" i="4" a="1"/>
  <c r="H74" i="4" s="1"/>
  <c r="H75" i="4" a="1"/>
  <c r="H75" i="4" s="1"/>
  <c r="H76" i="4" a="1"/>
  <c r="H76" i="4" s="1"/>
  <c r="H69" i="4" a="1"/>
  <c r="H69" i="4" s="1"/>
  <c r="H77" i="4" a="1"/>
  <c r="H77" i="4" s="1"/>
  <c r="H73" i="4" a="1"/>
  <c r="H73" i="4" s="1"/>
  <c r="H26" i="4" a="1"/>
  <c r="H26" i="4" s="1"/>
  <c r="H71" i="4" a="1"/>
  <c r="H71" i="4" s="1"/>
  <c r="H78" i="4" a="1"/>
  <c r="H78" i="4" s="1"/>
  <c r="H79" i="4" a="1"/>
  <c r="H79" i="4" s="1"/>
  <c r="H80" i="4" a="1"/>
  <c r="H80" i="4" s="1"/>
  <c r="H81" i="4" a="1"/>
  <c r="H81" i="4" s="1"/>
  <c r="B81" i="5" a="1"/>
  <c r="B81" i="5" s="1"/>
  <c r="C81" i="5" a="1"/>
  <c r="C81" i="5" s="1"/>
  <c r="D81" i="5" a="1"/>
  <c r="D81" i="5" s="1"/>
  <c r="E81" i="5" a="1"/>
  <c r="E81" i="5" s="1"/>
  <c r="F81" i="5" a="1"/>
  <c r="F81" i="5" s="1"/>
  <c r="G81" i="5" a="1"/>
  <c r="G81" i="5" s="1"/>
  <c r="AA81" i="5" s="1"/>
  <c r="G2" i="6" a="1"/>
  <c r="G2" i="6" s="1"/>
  <c r="G3" i="6" a="1"/>
  <c r="G3" i="6" s="1"/>
  <c r="G4" i="6" a="1"/>
  <c r="G4" i="6" s="1"/>
  <c r="G5" i="6" a="1"/>
  <c r="G5" i="6" s="1"/>
  <c r="G6" i="6" a="1"/>
  <c r="G6" i="6" s="1"/>
  <c r="G7" i="6" a="1"/>
  <c r="G7" i="6" s="1"/>
  <c r="G8" i="6" a="1"/>
  <c r="G8" i="6" s="1"/>
  <c r="G9" i="6" a="1"/>
  <c r="G9" i="6" s="1"/>
  <c r="G10" i="6" a="1"/>
  <c r="G10" i="6" s="1"/>
  <c r="G11" i="6" a="1"/>
  <c r="G11" i="6" s="1"/>
  <c r="G12" i="6" a="1"/>
  <c r="G12" i="6" s="1"/>
  <c r="G13" i="6" a="1"/>
  <c r="G13" i="6" s="1"/>
  <c r="G14" i="6" a="1"/>
  <c r="G14" i="6" s="1"/>
  <c r="G15" i="6" a="1"/>
  <c r="G15" i="6" s="1"/>
  <c r="G16" i="6" a="1"/>
  <c r="G16" i="6" s="1"/>
  <c r="G17" i="6" a="1"/>
  <c r="G17" i="6" s="1"/>
  <c r="G18" i="6" a="1"/>
  <c r="G18" i="6" s="1"/>
  <c r="G19" i="6" a="1"/>
  <c r="G19" i="6" s="1"/>
  <c r="G20" i="6" a="1"/>
  <c r="G20" i="6" s="1"/>
  <c r="G21" i="6" a="1"/>
  <c r="G21" i="6" s="1"/>
  <c r="G22" i="6" a="1"/>
  <c r="G22" i="6" s="1"/>
  <c r="G23" i="6" a="1"/>
  <c r="G23" i="6" s="1"/>
  <c r="G24" i="6" a="1"/>
  <c r="G24" i="6" s="1"/>
  <c r="G25" i="6" a="1"/>
  <c r="G25" i="6" s="1"/>
  <c r="G26" i="6" a="1"/>
  <c r="G26" i="6" s="1"/>
  <c r="G27" i="6" a="1"/>
  <c r="G27" i="6" s="1"/>
  <c r="G28" i="6" a="1"/>
  <c r="G28" i="6" s="1"/>
  <c r="G29" i="6" a="1"/>
  <c r="G29" i="6" s="1"/>
  <c r="G30" i="6" a="1"/>
  <c r="G30" i="6" s="1"/>
  <c r="G31" i="6" a="1"/>
  <c r="G31" i="6" s="1"/>
  <c r="G32" i="6" a="1"/>
  <c r="G32" i="6" s="1"/>
  <c r="G33" i="6" a="1"/>
  <c r="G33" i="6" s="1"/>
  <c r="G34" i="6" a="1"/>
  <c r="G34" i="6" s="1"/>
  <c r="G35" i="6" a="1"/>
  <c r="G35" i="6" s="1"/>
  <c r="G36" i="6" a="1"/>
  <c r="G36" i="6" s="1"/>
  <c r="G37" i="6" a="1"/>
  <c r="G37" i="6" s="1"/>
  <c r="G38" i="6" a="1"/>
  <c r="G38" i="6" s="1"/>
  <c r="G39" i="6" a="1"/>
  <c r="G39" i="6" s="1"/>
  <c r="G40" i="6" a="1"/>
  <c r="G40" i="6" s="1"/>
  <c r="G41" i="6" a="1"/>
  <c r="G41" i="6" s="1"/>
  <c r="G42" i="6" a="1"/>
  <c r="G42" i="6" s="1"/>
  <c r="G43" i="6" a="1"/>
  <c r="G43" i="6" s="1"/>
  <c r="G44" i="6" a="1"/>
  <c r="G44" i="6" s="1"/>
  <c r="G45" i="6" a="1"/>
  <c r="G45" i="6" s="1"/>
  <c r="G46" i="6" a="1"/>
  <c r="G46" i="6" s="1"/>
  <c r="G47" i="6" a="1"/>
  <c r="G47" i="6" s="1"/>
  <c r="G48" i="6" a="1"/>
  <c r="G48" i="6" s="1"/>
  <c r="G49" i="6" a="1"/>
  <c r="G49" i="6" s="1"/>
  <c r="G50" i="6" a="1"/>
  <c r="G50" i="6" s="1"/>
  <c r="G51" i="6" a="1"/>
  <c r="G51" i="6" s="1"/>
  <c r="G52" i="6" a="1"/>
  <c r="G52" i="6" s="1"/>
  <c r="G53" i="6" a="1"/>
  <c r="G53" i="6" s="1"/>
  <c r="G54" i="6" a="1"/>
  <c r="G54" i="6" s="1"/>
  <c r="G55" i="6" a="1"/>
  <c r="G55" i="6" s="1"/>
  <c r="G56" i="6" a="1"/>
  <c r="G56" i="6" s="1"/>
  <c r="G57" i="6" a="1"/>
  <c r="G57" i="6" s="1"/>
  <c r="G58" i="6" a="1"/>
  <c r="G58" i="6" s="1"/>
  <c r="G59" i="6" a="1"/>
  <c r="G59" i="6" s="1"/>
  <c r="G60" i="6" a="1"/>
  <c r="G60" i="6" s="1"/>
  <c r="G61" i="6" a="1"/>
  <c r="G61" i="6" s="1"/>
  <c r="G62" i="6" a="1"/>
  <c r="G62" i="6" s="1"/>
  <c r="G63" i="6" a="1"/>
  <c r="G63" i="6" s="1"/>
  <c r="G64" i="6" a="1"/>
  <c r="G64" i="6" s="1"/>
  <c r="G65" i="6" a="1"/>
  <c r="G65" i="6" s="1"/>
  <c r="G66" i="6" a="1"/>
  <c r="G66" i="6" s="1"/>
  <c r="G67" i="6" a="1"/>
  <c r="G67" i="6" s="1"/>
  <c r="G68" i="6" a="1"/>
  <c r="G68" i="6" s="1"/>
  <c r="G69" i="6" a="1"/>
  <c r="G69" i="6" s="1"/>
  <c r="G70" i="6" a="1"/>
  <c r="G70" i="6" s="1"/>
  <c r="G71" i="6" a="1"/>
  <c r="G71" i="6" s="1"/>
  <c r="G72" i="6" a="1"/>
  <c r="G72" i="6" s="1"/>
  <c r="G73" i="6" a="1"/>
  <c r="G73" i="6" s="1"/>
  <c r="G74" i="6" a="1"/>
  <c r="G74" i="6" s="1"/>
  <c r="G75" i="6" a="1"/>
  <c r="G75" i="6" s="1"/>
  <c r="G76" i="6" a="1"/>
  <c r="G76" i="6" s="1"/>
  <c r="G77" i="6" a="1"/>
  <c r="G77" i="6" s="1"/>
  <c r="G78" i="6" a="1"/>
  <c r="G78" i="6" s="1"/>
  <c r="G79" i="6" a="1"/>
  <c r="G79" i="6" s="1"/>
  <c r="G80" i="6" a="1"/>
  <c r="G80" i="6" s="1"/>
  <c r="F2" i="6" a="1"/>
  <c r="F2" i="6" s="1"/>
  <c r="F3" i="6" a="1"/>
  <c r="F3" i="6" s="1"/>
  <c r="F4" i="6" a="1"/>
  <c r="F4" i="6" s="1"/>
  <c r="F5" i="6" a="1"/>
  <c r="F5" i="6" s="1"/>
  <c r="F6" i="6" a="1"/>
  <c r="F6" i="6" s="1"/>
  <c r="F7" i="6" a="1"/>
  <c r="F7" i="6" s="1"/>
  <c r="F8" i="6" a="1"/>
  <c r="F8" i="6" s="1"/>
  <c r="F9" i="6" a="1"/>
  <c r="F9" i="6" s="1"/>
  <c r="F10" i="6" a="1"/>
  <c r="F10" i="6" s="1"/>
  <c r="F11" i="6" a="1"/>
  <c r="F11" i="6" s="1"/>
  <c r="F12" i="6" a="1"/>
  <c r="F12" i="6" s="1"/>
  <c r="F13" i="6" a="1"/>
  <c r="F13" i="6" s="1"/>
  <c r="F14" i="6" a="1"/>
  <c r="F14" i="6" s="1"/>
  <c r="F15" i="6" a="1"/>
  <c r="F15" i="6" s="1"/>
  <c r="F16" i="6" a="1"/>
  <c r="F16" i="6" s="1"/>
  <c r="F17" i="6" a="1"/>
  <c r="F17" i="6" s="1"/>
  <c r="F18" i="6" a="1"/>
  <c r="F18" i="6" s="1"/>
  <c r="F19" i="6" a="1"/>
  <c r="F19" i="6" s="1"/>
  <c r="F20" i="6" a="1"/>
  <c r="F20" i="6" s="1"/>
  <c r="F21" i="6" a="1"/>
  <c r="F21" i="6" s="1"/>
  <c r="F22" i="6" a="1"/>
  <c r="F22" i="6" s="1"/>
  <c r="F23" i="6" a="1"/>
  <c r="F23" i="6" s="1"/>
  <c r="F24" i="6" a="1"/>
  <c r="F24" i="6" s="1"/>
  <c r="F25" i="6" a="1"/>
  <c r="F25" i="6" s="1"/>
  <c r="F26" i="6" a="1"/>
  <c r="F26" i="6" s="1"/>
  <c r="F27" i="6" a="1"/>
  <c r="F27" i="6" s="1"/>
  <c r="F28" i="6" a="1"/>
  <c r="F28" i="6" s="1"/>
  <c r="F29" i="6" a="1"/>
  <c r="F29" i="6" s="1"/>
  <c r="F30" i="6" a="1"/>
  <c r="F30" i="6" s="1"/>
  <c r="F31" i="6" a="1"/>
  <c r="F31" i="6" s="1"/>
  <c r="F32" i="6" a="1"/>
  <c r="F32" i="6" s="1"/>
  <c r="F33" i="6" a="1"/>
  <c r="F33" i="6" s="1"/>
  <c r="F34" i="6" a="1"/>
  <c r="F34" i="6" s="1"/>
  <c r="F35" i="6" a="1"/>
  <c r="F35" i="6" s="1"/>
  <c r="F36" i="6" a="1"/>
  <c r="F36" i="6" s="1"/>
  <c r="F37" i="6" a="1"/>
  <c r="F37" i="6" s="1"/>
  <c r="F38" i="6" a="1"/>
  <c r="F38" i="6" s="1"/>
  <c r="F39" i="6" a="1"/>
  <c r="F39" i="6" s="1"/>
  <c r="F40" i="6" a="1"/>
  <c r="F40" i="6" s="1"/>
  <c r="F41" i="6" a="1"/>
  <c r="F41" i="6" s="1"/>
  <c r="F42" i="6" a="1"/>
  <c r="F42" i="6" s="1"/>
  <c r="F43" i="6" a="1"/>
  <c r="F43" i="6" s="1"/>
  <c r="F44" i="6" a="1"/>
  <c r="F44" i="6" s="1"/>
  <c r="F45" i="6" a="1"/>
  <c r="F45" i="6" s="1"/>
  <c r="F46" i="6" a="1"/>
  <c r="F46" i="6" s="1"/>
  <c r="F47" i="6" a="1"/>
  <c r="F47" i="6" s="1"/>
  <c r="F48" i="6" a="1"/>
  <c r="F48" i="6" s="1"/>
  <c r="F49" i="6" a="1"/>
  <c r="F49" i="6" s="1"/>
  <c r="F50" i="6" a="1"/>
  <c r="F50" i="6" s="1"/>
  <c r="F51" i="6" a="1"/>
  <c r="F51" i="6" s="1"/>
  <c r="F52" i="6" a="1"/>
  <c r="F52" i="6" s="1"/>
  <c r="F53" i="6" a="1"/>
  <c r="F53" i="6" s="1"/>
  <c r="F54" i="6" a="1"/>
  <c r="F54" i="6" s="1"/>
  <c r="F55" i="6" a="1"/>
  <c r="F55" i="6" s="1"/>
  <c r="F56" i="6" a="1"/>
  <c r="F56" i="6" s="1"/>
  <c r="F57" i="6" a="1"/>
  <c r="F57" i="6" s="1"/>
  <c r="F58" i="6" a="1"/>
  <c r="F58" i="6" s="1"/>
  <c r="F59" i="6" a="1"/>
  <c r="F59" i="6" s="1"/>
  <c r="F60" i="6" a="1"/>
  <c r="F60" i="6" s="1"/>
  <c r="F61" i="6" a="1"/>
  <c r="F61" i="6" s="1"/>
  <c r="F62" i="6" a="1"/>
  <c r="F62" i="6" s="1"/>
  <c r="F63" i="6" a="1"/>
  <c r="F63" i="6" s="1"/>
  <c r="F64" i="6" a="1"/>
  <c r="F64" i="6" s="1"/>
  <c r="F65" i="6" a="1"/>
  <c r="F65" i="6" s="1"/>
  <c r="F66" i="6" a="1"/>
  <c r="F66" i="6" s="1"/>
  <c r="F67" i="6" a="1"/>
  <c r="F67" i="6" s="1"/>
  <c r="F68" i="6" a="1"/>
  <c r="F68" i="6" s="1"/>
  <c r="F69" i="6" a="1"/>
  <c r="F69" i="6" s="1"/>
  <c r="F70" i="6" a="1"/>
  <c r="F70" i="6" s="1"/>
  <c r="F71" i="6" a="1"/>
  <c r="F71" i="6" s="1"/>
  <c r="F72" i="6" a="1"/>
  <c r="F72" i="6" s="1"/>
  <c r="F73" i="6" a="1"/>
  <c r="F73" i="6" s="1"/>
  <c r="F74" i="6" a="1"/>
  <c r="F74" i="6" s="1"/>
  <c r="F75" i="6" a="1"/>
  <c r="F75" i="6" s="1"/>
  <c r="F76" i="6" a="1"/>
  <c r="F76" i="6" s="1"/>
  <c r="F77" i="6" a="1"/>
  <c r="F77" i="6" s="1"/>
  <c r="F78" i="6" a="1"/>
  <c r="F78" i="6" s="1"/>
  <c r="F79" i="6" a="1"/>
  <c r="F79" i="6" s="1"/>
  <c r="F80" i="6" a="1"/>
  <c r="F80" i="6" s="1"/>
  <c r="E2" i="6" a="1"/>
  <c r="E2" i="6" s="1"/>
  <c r="E3" i="6" a="1"/>
  <c r="E3" i="6" s="1"/>
  <c r="E4" i="6" a="1"/>
  <c r="E4" i="6" s="1"/>
  <c r="E5" i="6" a="1"/>
  <c r="E5" i="6" s="1"/>
  <c r="E6" i="6" a="1"/>
  <c r="E6" i="6" s="1"/>
  <c r="E7" i="6" a="1"/>
  <c r="E7" i="6" s="1"/>
  <c r="E8" i="6" a="1"/>
  <c r="E8" i="6" s="1"/>
  <c r="E9" i="6" a="1"/>
  <c r="E9" i="6" s="1"/>
  <c r="E10" i="6" a="1"/>
  <c r="E10" i="6" s="1"/>
  <c r="E11" i="6" a="1"/>
  <c r="E11" i="6" s="1"/>
  <c r="E12" i="6" a="1"/>
  <c r="E12" i="6" s="1"/>
  <c r="E13" i="6" a="1"/>
  <c r="E13" i="6" s="1"/>
  <c r="E14" i="6" a="1"/>
  <c r="E14" i="6" s="1"/>
  <c r="E15" i="6" a="1"/>
  <c r="E15" i="6" s="1"/>
  <c r="E16" i="6" a="1"/>
  <c r="E16" i="6" s="1"/>
  <c r="E17" i="6" a="1"/>
  <c r="E17" i="6" s="1"/>
  <c r="E18" i="6" a="1"/>
  <c r="E18" i="6" s="1"/>
  <c r="E19" i="6" a="1"/>
  <c r="E19" i="6" s="1"/>
  <c r="E20" i="6" a="1"/>
  <c r="E20" i="6" s="1"/>
  <c r="E21" i="6" a="1"/>
  <c r="E21" i="6" s="1"/>
  <c r="E22" i="6" a="1"/>
  <c r="E22" i="6" s="1"/>
  <c r="E23" i="6" a="1"/>
  <c r="E23" i="6" s="1"/>
  <c r="E24" i="6" a="1"/>
  <c r="E24" i="6" s="1"/>
  <c r="E25" i="6" a="1"/>
  <c r="E25" i="6" s="1"/>
  <c r="E26" i="6" a="1"/>
  <c r="E26" i="6" s="1"/>
  <c r="E27" i="6" a="1"/>
  <c r="E27" i="6" s="1"/>
  <c r="E28" i="6" a="1"/>
  <c r="E28" i="6" s="1"/>
  <c r="E29" i="6" a="1"/>
  <c r="E29" i="6" s="1"/>
  <c r="E30" i="6" a="1"/>
  <c r="E30" i="6" s="1"/>
  <c r="E31" i="6" a="1"/>
  <c r="E31" i="6" s="1"/>
  <c r="E32" i="6" a="1"/>
  <c r="E32" i="6" s="1"/>
  <c r="E33" i="6" a="1"/>
  <c r="E33" i="6" s="1"/>
  <c r="E34" i="6" a="1"/>
  <c r="E34" i="6" s="1"/>
  <c r="E35" i="6" a="1"/>
  <c r="E35" i="6" s="1"/>
  <c r="E36" i="6" a="1"/>
  <c r="E36" i="6" s="1"/>
  <c r="E37" i="6" a="1"/>
  <c r="E37" i="6" s="1"/>
  <c r="E38" i="6" a="1"/>
  <c r="E38" i="6" s="1"/>
  <c r="E39" i="6" a="1"/>
  <c r="E39" i="6" s="1"/>
  <c r="E40" i="6" a="1"/>
  <c r="E40" i="6" s="1"/>
  <c r="E41" i="6" a="1"/>
  <c r="E41" i="6" s="1"/>
  <c r="E42" i="6" a="1"/>
  <c r="E42" i="6" s="1"/>
  <c r="E43" i="6" a="1"/>
  <c r="E43" i="6" s="1"/>
  <c r="E44" i="6" a="1"/>
  <c r="E44" i="6" s="1"/>
  <c r="E45" i="6" a="1"/>
  <c r="E45" i="6" s="1"/>
  <c r="E46" i="6" a="1"/>
  <c r="E46" i="6" s="1"/>
  <c r="E47" i="6" a="1"/>
  <c r="E47" i="6" s="1"/>
  <c r="E48" i="6" a="1"/>
  <c r="E48" i="6" s="1"/>
  <c r="E49" i="6" a="1"/>
  <c r="E49" i="6" s="1"/>
  <c r="E50" i="6" a="1"/>
  <c r="E50" i="6" s="1"/>
  <c r="E51" i="6" a="1"/>
  <c r="E51" i="6" s="1"/>
  <c r="E52" i="6" a="1"/>
  <c r="E52" i="6" s="1"/>
  <c r="E53" i="6" a="1"/>
  <c r="E53" i="6" s="1"/>
  <c r="E54" i="6" a="1"/>
  <c r="E54" i="6" s="1"/>
  <c r="E55" i="6" a="1"/>
  <c r="E55" i="6" s="1"/>
  <c r="E56" i="6" a="1"/>
  <c r="E56" i="6" s="1"/>
  <c r="E57" i="6" a="1"/>
  <c r="E57" i="6" s="1"/>
  <c r="E58" i="6" a="1"/>
  <c r="E58" i="6" s="1"/>
  <c r="E59" i="6" a="1"/>
  <c r="E59" i="6" s="1"/>
  <c r="E60" i="6" a="1"/>
  <c r="E60" i="6" s="1"/>
  <c r="E61" i="6" a="1"/>
  <c r="E61" i="6" s="1"/>
  <c r="E62" i="6" a="1"/>
  <c r="E62" i="6" s="1"/>
  <c r="E63" i="6" a="1"/>
  <c r="E63" i="6" s="1"/>
  <c r="E64" i="6" a="1"/>
  <c r="E64" i="6" s="1"/>
  <c r="E65" i="6" a="1"/>
  <c r="E65" i="6" s="1"/>
  <c r="E66" i="6" a="1"/>
  <c r="E66" i="6" s="1"/>
  <c r="E67" i="6" a="1"/>
  <c r="E67" i="6" s="1"/>
  <c r="E68" i="6" a="1"/>
  <c r="E68" i="6" s="1"/>
  <c r="E69" i="6" a="1"/>
  <c r="E69" i="6" s="1"/>
  <c r="E70" i="6" a="1"/>
  <c r="E70" i="6" s="1"/>
  <c r="E71" i="6" a="1"/>
  <c r="E71" i="6" s="1"/>
  <c r="E72" i="6" a="1"/>
  <c r="E72" i="6" s="1"/>
  <c r="E73" i="6" a="1"/>
  <c r="E73" i="6" s="1"/>
  <c r="E74" i="6" a="1"/>
  <c r="E74" i="6" s="1"/>
  <c r="E75" i="6" a="1"/>
  <c r="E75" i="6" s="1"/>
  <c r="E76" i="6" a="1"/>
  <c r="E76" i="6" s="1"/>
  <c r="E77" i="6" a="1"/>
  <c r="E77" i="6" s="1"/>
  <c r="E78" i="6" a="1"/>
  <c r="E78" i="6" s="1"/>
  <c r="E79" i="6" a="1"/>
  <c r="E79" i="6" s="1"/>
  <c r="E80" i="6" a="1"/>
  <c r="E80" i="6" s="1"/>
  <c r="D2" i="6" a="1"/>
  <c r="D2" i="6" s="1"/>
  <c r="D3" i="6" a="1"/>
  <c r="D3" i="6" s="1"/>
  <c r="D4" i="6" a="1"/>
  <c r="D4" i="6" s="1"/>
  <c r="D5" i="6" a="1"/>
  <c r="D5" i="6" s="1"/>
  <c r="D6" i="6" a="1"/>
  <c r="D6" i="6" s="1"/>
  <c r="D7" i="6" a="1"/>
  <c r="D7" i="6" s="1"/>
  <c r="D8" i="6" a="1"/>
  <c r="D8" i="6" s="1"/>
  <c r="D9" i="6" a="1"/>
  <c r="D9" i="6" s="1"/>
  <c r="D10" i="6" a="1"/>
  <c r="D10" i="6" s="1"/>
  <c r="D11" i="6" a="1"/>
  <c r="D11" i="6" s="1"/>
  <c r="D12" i="6" a="1"/>
  <c r="D12" i="6" s="1"/>
  <c r="D13" i="6" a="1"/>
  <c r="D13" i="6" s="1"/>
  <c r="D14" i="6" a="1"/>
  <c r="D14" i="6" s="1"/>
  <c r="D15" i="6" a="1"/>
  <c r="D15" i="6" s="1"/>
  <c r="D16" i="6" a="1"/>
  <c r="D16" i="6" s="1"/>
  <c r="D17" i="6" a="1"/>
  <c r="D17" i="6" s="1"/>
  <c r="D18" i="6" a="1"/>
  <c r="D18" i="6" s="1"/>
  <c r="D19" i="6" a="1"/>
  <c r="D19" i="6" s="1"/>
  <c r="D20" i="6" a="1"/>
  <c r="D20" i="6" s="1"/>
  <c r="D21" i="6" a="1"/>
  <c r="D21" i="6" s="1"/>
  <c r="D22" i="6" a="1"/>
  <c r="D22" i="6" s="1"/>
  <c r="D23" i="6" a="1"/>
  <c r="D23" i="6" s="1"/>
  <c r="D24" i="6" a="1"/>
  <c r="D24" i="6" s="1"/>
  <c r="D25" i="6" a="1"/>
  <c r="D25" i="6" s="1"/>
  <c r="D26" i="6" a="1"/>
  <c r="D26" i="6" s="1"/>
  <c r="D27" i="6" a="1"/>
  <c r="D27" i="6" s="1"/>
  <c r="D28" i="6" a="1"/>
  <c r="D28" i="6" s="1"/>
  <c r="D29" i="6" a="1"/>
  <c r="D29" i="6" s="1"/>
  <c r="D30" i="6" a="1"/>
  <c r="D30" i="6" s="1"/>
  <c r="D31" i="6" a="1"/>
  <c r="D31" i="6" s="1"/>
  <c r="D32" i="6" a="1"/>
  <c r="D32" i="6" s="1"/>
  <c r="D33" i="6" a="1"/>
  <c r="D33" i="6" s="1"/>
  <c r="D34" i="6" a="1"/>
  <c r="D34" i="6" s="1"/>
  <c r="D35" i="6" a="1"/>
  <c r="D35" i="6" s="1"/>
  <c r="D36" i="6" a="1"/>
  <c r="D36" i="6" s="1"/>
  <c r="D37" i="6" a="1"/>
  <c r="D37" i="6" s="1"/>
  <c r="D38" i="6" a="1"/>
  <c r="D38" i="6" s="1"/>
  <c r="D39" i="6" a="1"/>
  <c r="D39" i="6" s="1"/>
  <c r="D40" i="6" a="1"/>
  <c r="D40" i="6" s="1"/>
  <c r="D41" i="6" a="1"/>
  <c r="D41" i="6" s="1"/>
  <c r="D42" i="6" a="1"/>
  <c r="D42" i="6" s="1"/>
  <c r="D43" i="6" a="1"/>
  <c r="D43" i="6" s="1"/>
  <c r="D44" i="6" a="1"/>
  <c r="D44" i="6" s="1"/>
  <c r="D45" i="6" a="1"/>
  <c r="D45" i="6" s="1"/>
  <c r="D46" i="6" a="1"/>
  <c r="D46" i="6" s="1"/>
  <c r="D47" i="6" a="1"/>
  <c r="D47" i="6" s="1"/>
  <c r="D48" i="6" a="1"/>
  <c r="D48" i="6" s="1"/>
  <c r="D49" i="6" a="1"/>
  <c r="D49" i="6" s="1"/>
  <c r="D50" i="6" a="1"/>
  <c r="D50" i="6" s="1"/>
  <c r="D51" i="6" a="1"/>
  <c r="D51" i="6" s="1"/>
  <c r="D52" i="6" a="1"/>
  <c r="D52" i="6" s="1"/>
  <c r="D53" i="6" a="1"/>
  <c r="D53" i="6" s="1"/>
  <c r="D54" i="6" a="1"/>
  <c r="D54" i="6" s="1"/>
  <c r="D55" i="6" a="1"/>
  <c r="D55" i="6" s="1"/>
  <c r="D56" i="6" a="1"/>
  <c r="D56" i="6" s="1"/>
  <c r="D57" i="6" a="1"/>
  <c r="D57" i="6" s="1"/>
  <c r="D58" i="6" a="1"/>
  <c r="D58" i="6" s="1"/>
  <c r="D59" i="6" a="1"/>
  <c r="D59" i="6" s="1"/>
  <c r="D60" i="6" a="1"/>
  <c r="D60" i="6" s="1"/>
  <c r="D61" i="6" a="1"/>
  <c r="D61" i="6" s="1"/>
  <c r="D62" i="6" a="1"/>
  <c r="D62" i="6" s="1"/>
  <c r="D63" i="6" a="1"/>
  <c r="D63" i="6" s="1"/>
  <c r="D64" i="6" a="1"/>
  <c r="D64" i="6" s="1"/>
  <c r="D65" i="6" a="1"/>
  <c r="D65" i="6" s="1"/>
  <c r="D66" i="6" a="1"/>
  <c r="D66" i="6" s="1"/>
  <c r="D67" i="6" a="1"/>
  <c r="D67" i="6" s="1"/>
  <c r="D68" i="6" a="1"/>
  <c r="D68" i="6" s="1"/>
  <c r="D69" i="6" a="1"/>
  <c r="D69" i="6" s="1"/>
  <c r="D70" i="6" a="1"/>
  <c r="D70" i="6" s="1"/>
  <c r="D71" i="6" a="1"/>
  <c r="D71" i="6" s="1"/>
  <c r="D72" i="6" a="1"/>
  <c r="D72" i="6" s="1"/>
  <c r="D73" i="6" a="1"/>
  <c r="D73" i="6" s="1"/>
  <c r="D74" i="6" a="1"/>
  <c r="D74" i="6" s="1"/>
  <c r="D75" i="6" a="1"/>
  <c r="D75" i="6" s="1"/>
  <c r="D76" i="6" a="1"/>
  <c r="D76" i="6" s="1"/>
  <c r="D77" i="6" a="1"/>
  <c r="D77" i="6" s="1"/>
  <c r="D78" i="6" a="1"/>
  <c r="D78" i="6" s="1"/>
  <c r="D79" i="6" a="1"/>
  <c r="D79" i="6" s="1"/>
  <c r="D80" i="6" a="1"/>
  <c r="D80" i="6" s="1"/>
  <c r="C2" i="6" a="1"/>
  <c r="C2" i="6" s="1"/>
  <c r="C3" i="6" a="1"/>
  <c r="C3" i="6" s="1"/>
  <c r="C4" i="6" a="1"/>
  <c r="C4" i="6" s="1"/>
  <c r="C5" i="6" a="1"/>
  <c r="C5" i="6" s="1"/>
  <c r="C6" i="6" a="1"/>
  <c r="C6" i="6" s="1"/>
  <c r="C7" i="6" a="1"/>
  <c r="C7" i="6" s="1"/>
  <c r="C8" i="6" a="1"/>
  <c r="C8" i="6" s="1"/>
  <c r="C9" i="6" a="1"/>
  <c r="C9" i="6" s="1"/>
  <c r="C10" i="6" a="1"/>
  <c r="C10" i="6" s="1"/>
  <c r="C11" i="6" a="1"/>
  <c r="C11" i="6" s="1"/>
  <c r="C12" i="6" a="1"/>
  <c r="C12" i="6" s="1"/>
  <c r="C13" i="6" a="1"/>
  <c r="C13" i="6" s="1"/>
  <c r="C14" i="6" a="1"/>
  <c r="C14" i="6" s="1"/>
  <c r="C15" i="6" a="1"/>
  <c r="C15" i="6" s="1"/>
  <c r="C16" i="6" a="1"/>
  <c r="C16" i="6" s="1"/>
  <c r="C17" i="6" a="1"/>
  <c r="C17" i="6" s="1"/>
  <c r="C18" i="6" a="1"/>
  <c r="C18" i="6" s="1"/>
  <c r="C19" i="6" a="1"/>
  <c r="C19" i="6" s="1"/>
  <c r="C20" i="6" a="1"/>
  <c r="C20" i="6" s="1"/>
  <c r="C21" i="6" a="1"/>
  <c r="C21" i="6" s="1"/>
  <c r="C22" i="6" a="1"/>
  <c r="C22" i="6" s="1"/>
  <c r="C23" i="6" a="1"/>
  <c r="C23" i="6" s="1"/>
  <c r="C24" i="6" a="1"/>
  <c r="C24" i="6" s="1"/>
  <c r="C25" i="6" a="1"/>
  <c r="C25" i="6" s="1"/>
  <c r="C26" i="6" a="1"/>
  <c r="C26" i="6" s="1"/>
  <c r="C27" i="6" a="1"/>
  <c r="C27" i="6" s="1"/>
  <c r="C28" i="6" a="1"/>
  <c r="C28" i="6" s="1"/>
  <c r="C29" i="6" a="1"/>
  <c r="C29" i="6" s="1"/>
  <c r="C30" i="6" a="1"/>
  <c r="C30" i="6" s="1"/>
  <c r="C31" i="6" a="1"/>
  <c r="C31" i="6" s="1"/>
  <c r="C32" i="6" a="1"/>
  <c r="C32" i="6" s="1"/>
  <c r="C33" i="6" a="1"/>
  <c r="C33" i="6" s="1"/>
  <c r="C34" i="6" a="1"/>
  <c r="C34" i="6" s="1"/>
  <c r="C35" i="6" a="1"/>
  <c r="C35" i="6" s="1"/>
  <c r="C36" i="6" a="1"/>
  <c r="C36" i="6" s="1"/>
  <c r="C37" i="6" a="1"/>
  <c r="C37" i="6" s="1"/>
  <c r="C38" i="6" a="1"/>
  <c r="C38" i="6" s="1"/>
  <c r="C39" i="6" a="1"/>
  <c r="C39" i="6" s="1"/>
  <c r="C40" i="6" a="1"/>
  <c r="C40" i="6" s="1"/>
  <c r="C41" i="6" a="1"/>
  <c r="C41" i="6" s="1"/>
  <c r="C42" i="6" a="1"/>
  <c r="C42" i="6" s="1"/>
  <c r="C43" i="6" a="1"/>
  <c r="C43" i="6" s="1"/>
  <c r="C44" i="6" a="1"/>
  <c r="C44" i="6" s="1"/>
  <c r="C45" i="6" a="1"/>
  <c r="C45" i="6" s="1"/>
  <c r="C46" i="6" a="1"/>
  <c r="C46" i="6" s="1"/>
  <c r="C47" i="6" a="1"/>
  <c r="C47" i="6" s="1"/>
  <c r="C48" i="6" a="1"/>
  <c r="C48" i="6" s="1"/>
  <c r="C49" i="6" a="1"/>
  <c r="C49" i="6" s="1"/>
  <c r="C50" i="6" a="1"/>
  <c r="C50" i="6" s="1"/>
  <c r="C51" i="6" a="1"/>
  <c r="C51" i="6" s="1"/>
  <c r="C52" i="6" a="1"/>
  <c r="C52" i="6" s="1"/>
  <c r="C53" i="6" a="1"/>
  <c r="C53" i="6" s="1"/>
  <c r="C54" i="6" a="1"/>
  <c r="C54" i="6" s="1"/>
  <c r="C55" i="6" a="1"/>
  <c r="C55" i="6" s="1"/>
  <c r="C56" i="6" a="1"/>
  <c r="C56" i="6" s="1"/>
  <c r="C57" i="6" a="1"/>
  <c r="C57" i="6" s="1"/>
  <c r="C58" i="6" a="1"/>
  <c r="C58" i="6" s="1"/>
  <c r="C59" i="6" a="1"/>
  <c r="C59" i="6" s="1"/>
  <c r="C60" i="6" a="1"/>
  <c r="C60" i="6" s="1"/>
  <c r="C61" i="6" a="1"/>
  <c r="C61" i="6" s="1"/>
  <c r="C62" i="6" a="1"/>
  <c r="C62" i="6" s="1"/>
  <c r="C63" i="6" a="1"/>
  <c r="C63" i="6" s="1"/>
  <c r="C64" i="6" a="1"/>
  <c r="C64" i="6" s="1"/>
  <c r="C65" i="6" a="1"/>
  <c r="C65" i="6" s="1"/>
  <c r="C66" i="6" a="1"/>
  <c r="C66" i="6" s="1"/>
  <c r="C67" i="6" a="1"/>
  <c r="C67" i="6" s="1"/>
  <c r="C68" i="6" a="1"/>
  <c r="C68" i="6" s="1"/>
  <c r="C69" i="6" a="1"/>
  <c r="C69" i="6" s="1"/>
  <c r="C70" i="6" a="1"/>
  <c r="C70" i="6" s="1"/>
  <c r="C71" i="6" a="1"/>
  <c r="C71" i="6" s="1"/>
  <c r="C72" i="6" a="1"/>
  <c r="C72" i="6" s="1"/>
  <c r="C73" i="6" a="1"/>
  <c r="C73" i="6" s="1"/>
  <c r="C74" i="6" a="1"/>
  <c r="C74" i="6" s="1"/>
  <c r="C75" i="6" a="1"/>
  <c r="C75" i="6" s="1"/>
  <c r="C76" i="6" a="1"/>
  <c r="C76" i="6" s="1"/>
  <c r="C77" i="6" a="1"/>
  <c r="C77" i="6" s="1"/>
  <c r="C78" i="6" a="1"/>
  <c r="C78" i="6" s="1"/>
  <c r="C79" i="6" a="1"/>
  <c r="C79" i="6" s="1"/>
  <c r="C80" i="6" a="1"/>
  <c r="C80" i="6" s="1"/>
  <c r="B2" i="6" a="1"/>
  <c r="B2" i="6" s="1"/>
  <c r="B3" i="6" a="1"/>
  <c r="B3" i="6" s="1"/>
  <c r="B4" i="6" a="1"/>
  <c r="B4" i="6" s="1"/>
  <c r="B5" i="6" a="1"/>
  <c r="B5" i="6" s="1"/>
  <c r="B6" i="6" a="1"/>
  <c r="B6" i="6" s="1"/>
  <c r="B7" i="6" a="1"/>
  <c r="B7" i="6" s="1"/>
  <c r="B8" i="6" a="1"/>
  <c r="B8" i="6" s="1"/>
  <c r="B9" i="6" a="1"/>
  <c r="B9" i="6" s="1"/>
  <c r="B10" i="6" a="1"/>
  <c r="B10" i="6" s="1"/>
  <c r="B11" i="6" a="1"/>
  <c r="B11" i="6" s="1"/>
  <c r="B12" i="6" a="1"/>
  <c r="B12" i="6" s="1"/>
  <c r="B13" i="6" a="1"/>
  <c r="B13" i="6" s="1"/>
  <c r="B14" i="6" a="1"/>
  <c r="B14" i="6" s="1"/>
  <c r="B15" i="6" a="1"/>
  <c r="B15" i="6" s="1"/>
  <c r="B16" i="6" a="1"/>
  <c r="B16" i="6" s="1"/>
  <c r="B17" i="6" a="1"/>
  <c r="B17" i="6" s="1"/>
  <c r="B18" i="6" a="1"/>
  <c r="B18" i="6" s="1"/>
  <c r="B19" i="6" a="1"/>
  <c r="B19" i="6" s="1"/>
  <c r="B20" i="6" a="1"/>
  <c r="B20" i="6" s="1"/>
  <c r="B21" i="6" a="1"/>
  <c r="B21" i="6" s="1"/>
  <c r="B22" i="6" a="1"/>
  <c r="B22" i="6" s="1"/>
  <c r="B23" i="6" a="1"/>
  <c r="B23" i="6" s="1"/>
  <c r="B24" i="6" a="1"/>
  <c r="B24" i="6" s="1"/>
  <c r="B25" i="6" a="1"/>
  <c r="B25" i="6" s="1"/>
  <c r="B26" i="6" a="1"/>
  <c r="B26" i="6" s="1"/>
  <c r="B27" i="6" a="1"/>
  <c r="B27" i="6" s="1"/>
  <c r="B28" i="6" a="1"/>
  <c r="B28" i="6" s="1"/>
  <c r="B29" i="6" a="1"/>
  <c r="B29" i="6" s="1"/>
  <c r="B30" i="6" a="1"/>
  <c r="B30" i="6" s="1"/>
  <c r="B31" i="6" a="1"/>
  <c r="B31" i="6" s="1"/>
  <c r="B32" i="6" a="1"/>
  <c r="B32" i="6" s="1"/>
  <c r="B33" i="6" a="1"/>
  <c r="B33" i="6" s="1"/>
  <c r="B34" i="6" a="1"/>
  <c r="B34" i="6" s="1"/>
  <c r="B35" i="6" a="1"/>
  <c r="B35" i="6" s="1"/>
  <c r="B36" i="6" a="1"/>
  <c r="B36" i="6" s="1"/>
  <c r="B37" i="6" a="1"/>
  <c r="B37" i="6" s="1"/>
  <c r="B38" i="6" a="1"/>
  <c r="B38" i="6" s="1"/>
  <c r="B39" i="6" a="1"/>
  <c r="B39" i="6" s="1"/>
  <c r="B40" i="6" a="1"/>
  <c r="B40" i="6" s="1"/>
  <c r="B41" i="6" a="1"/>
  <c r="B41" i="6" s="1"/>
  <c r="B42" i="6" a="1"/>
  <c r="B42" i="6" s="1"/>
  <c r="B43" i="6" a="1"/>
  <c r="B43" i="6" s="1"/>
  <c r="B44" i="6" a="1"/>
  <c r="B44" i="6" s="1"/>
  <c r="B45" i="6" a="1"/>
  <c r="B45" i="6" s="1"/>
  <c r="B46" i="6" a="1"/>
  <c r="B46" i="6" s="1"/>
  <c r="B47" i="6" a="1"/>
  <c r="B47" i="6" s="1"/>
  <c r="B48" i="6" a="1"/>
  <c r="B48" i="6" s="1"/>
  <c r="B49" i="6" a="1"/>
  <c r="B49" i="6" s="1"/>
  <c r="B50" i="6" a="1"/>
  <c r="B50" i="6" s="1"/>
  <c r="B51" i="6" a="1"/>
  <c r="B51" i="6" s="1"/>
  <c r="B52" i="6" a="1"/>
  <c r="B52" i="6" s="1"/>
  <c r="B53" i="6" a="1"/>
  <c r="B53" i="6" s="1"/>
  <c r="B54" i="6" a="1"/>
  <c r="B54" i="6" s="1"/>
  <c r="B55" i="6" a="1"/>
  <c r="B55" i="6" s="1"/>
  <c r="B56" i="6" a="1"/>
  <c r="B56" i="6" s="1"/>
  <c r="B57" i="6" a="1"/>
  <c r="B57" i="6" s="1"/>
  <c r="B58" i="6" a="1"/>
  <c r="B58" i="6" s="1"/>
  <c r="B59" i="6" a="1"/>
  <c r="B59" i="6" s="1"/>
  <c r="B60" i="6" a="1"/>
  <c r="B60" i="6" s="1"/>
  <c r="B61" i="6" a="1"/>
  <c r="B61" i="6" s="1"/>
  <c r="B62" i="6" a="1"/>
  <c r="B62" i="6" s="1"/>
  <c r="B63" i="6" a="1"/>
  <c r="B63" i="6" s="1"/>
  <c r="B64" i="6" a="1"/>
  <c r="B64" i="6" s="1"/>
  <c r="B65" i="6" a="1"/>
  <c r="B65" i="6" s="1"/>
  <c r="B66" i="6" a="1"/>
  <c r="B66" i="6" s="1"/>
  <c r="B67" i="6" a="1"/>
  <c r="B67" i="6" s="1"/>
  <c r="B68" i="6" a="1"/>
  <c r="B68" i="6" s="1"/>
  <c r="B69" i="6" a="1"/>
  <c r="B69" i="6" s="1"/>
  <c r="B70" i="6" a="1"/>
  <c r="B70" i="6" s="1"/>
  <c r="B71" i="6" a="1"/>
  <c r="B71" i="6" s="1"/>
  <c r="B72" i="6" a="1"/>
  <c r="B72" i="6" s="1"/>
  <c r="B73" i="6" a="1"/>
  <c r="B73" i="6" s="1"/>
  <c r="B74" i="6" a="1"/>
  <c r="B74" i="6" s="1"/>
  <c r="B75" i="6" a="1"/>
  <c r="B75" i="6" s="1"/>
  <c r="B76" i="6" a="1"/>
  <c r="B76" i="6" s="1"/>
  <c r="B77" i="6" a="1"/>
  <c r="B77" i="6" s="1"/>
  <c r="B78" i="6" a="1"/>
  <c r="B78" i="6" s="1"/>
  <c r="B79" i="6" a="1"/>
  <c r="B79" i="6" s="1"/>
  <c r="B80" i="6" a="1"/>
  <c r="B80" i="6" s="1"/>
  <c r="G2" i="5" a="1"/>
  <c r="G2" i="5" s="1"/>
  <c r="AA2" i="5" s="1"/>
  <c r="G3" i="5" a="1"/>
  <c r="G3" i="5" s="1"/>
  <c r="AA3" i="5" s="1"/>
  <c r="G4" i="5" a="1"/>
  <c r="G4" i="5" s="1"/>
  <c r="AA4" i="5" s="1"/>
  <c r="G5" i="5" a="1"/>
  <c r="G5" i="5" s="1"/>
  <c r="AA5" i="5" s="1"/>
  <c r="G6" i="5" a="1"/>
  <c r="G6" i="5" s="1"/>
  <c r="AA6" i="5" s="1"/>
  <c r="G7" i="5" a="1"/>
  <c r="G7" i="5" s="1"/>
  <c r="AA7" i="5" s="1"/>
  <c r="G8" i="5" a="1"/>
  <c r="G8" i="5" s="1"/>
  <c r="AA8" i="5" s="1"/>
  <c r="G9" i="5" a="1"/>
  <c r="G9" i="5" s="1"/>
  <c r="AA9" i="5" s="1"/>
  <c r="G10" i="5" a="1"/>
  <c r="G10" i="5" s="1"/>
  <c r="AA10" i="5" s="1"/>
  <c r="G11" i="5" a="1"/>
  <c r="G11" i="5" s="1"/>
  <c r="AA11" i="5" s="1"/>
  <c r="G12" i="5" a="1"/>
  <c r="G12" i="5" s="1"/>
  <c r="AA12" i="5" s="1"/>
  <c r="G13" i="5" a="1"/>
  <c r="G13" i="5" s="1"/>
  <c r="AA13" i="5" s="1"/>
  <c r="G14" i="5" a="1"/>
  <c r="G14" i="5" s="1"/>
  <c r="AA14" i="5" s="1"/>
  <c r="G15" i="5" a="1"/>
  <c r="G15" i="5" s="1"/>
  <c r="AA15" i="5" s="1"/>
  <c r="G16" i="5" a="1"/>
  <c r="G16" i="5" s="1"/>
  <c r="AA16" i="5" s="1"/>
  <c r="G17" i="5" a="1"/>
  <c r="G17" i="5" s="1"/>
  <c r="AA17" i="5" s="1"/>
  <c r="G18" i="5" a="1"/>
  <c r="G18" i="5" s="1"/>
  <c r="AA18" i="5" s="1"/>
  <c r="G19" i="5" a="1"/>
  <c r="G19" i="5" s="1"/>
  <c r="AA19" i="5" s="1"/>
  <c r="G20" i="5" a="1"/>
  <c r="G20" i="5" s="1"/>
  <c r="AA20" i="5" s="1"/>
  <c r="G21" i="5" a="1"/>
  <c r="G21" i="5" s="1"/>
  <c r="AA21" i="5" s="1"/>
  <c r="G22" i="5" a="1"/>
  <c r="G22" i="5" s="1"/>
  <c r="AA22" i="5" s="1"/>
  <c r="G23" i="5" a="1"/>
  <c r="G23" i="5" s="1"/>
  <c r="AA23" i="5" s="1"/>
  <c r="G24" i="5" a="1"/>
  <c r="G24" i="5" s="1"/>
  <c r="AA24" i="5" s="1"/>
  <c r="G25" i="5" a="1"/>
  <c r="G25" i="5" s="1"/>
  <c r="AA25" i="5" s="1"/>
  <c r="G26" i="5" a="1"/>
  <c r="G26" i="5" s="1"/>
  <c r="AA26" i="5" s="1"/>
  <c r="G27" i="5" a="1"/>
  <c r="G27" i="5" s="1"/>
  <c r="AA27" i="5" s="1"/>
  <c r="G28" i="5" a="1"/>
  <c r="G28" i="5" s="1"/>
  <c r="AA28" i="5" s="1"/>
  <c r="G29" i="5" a="1"/>
  <c r="G29" i="5" s="1"/>
  <c r="AA29" i="5" s="1"/>
  <c r="G30" i="5" a="1"/>
  <c r="G30" i="5" s="1"/>
  <c r="AA30" i="5" s="1"/>
  <c r="G31" i="5" a="1"/>
  <c r="G31" i="5" s="1"/>
  <c r="AA31" i="5" s="1"/>
  <c r="G32" i="5" a="1"/>
  <c r="G32" i="5" s="1"/>
  <c r="AA32" i="5" s="1"/>
  <c r="G33" i="5" a="1"/>
  <c r="G33" i="5" s="1"/>
  <c r="AA33" i="5" s="1"/>
  <c r="G34" i="5" a="1"/>
  <c r="G34" i="5" s="1"/>
  <c r="AA34" i="5" s="1"/>
  <c r="G35" i="5" a="1"/>
  <c r="G35" i="5" s="1"/>
  <c r="AA35" i="5" s="1"/>
  <c r="G36" i="5" a="1"/>
  <c r="G36" i="5" s="1"/>
  <c r="AA36" i="5" s="1"/>
  <c r="G37" i="5" a="1"/>
  <c r="G37" i="5" s="1"/>
  <c r="AA37" i="5" s="1"/>
  <c r="G38" i="5" a="1"/>
  <c r="G38" i="5" s="1"/>
  <c r="AA38" i="5" s="1"/>
  <c r="G39" i="5" a="1"/>
  <c r="G39" i="5" s="1"/>
  <c r="AA39" i="5" s="1"/>
  <c r="G40" i="5" a="1"/>
  <c r="G40" i="5" s="1"/>
  <c r="AA40" i="5" s="1"/>
  <c r="G41" i="5" a="1"/>
  <c r="G41" i="5" s="1"/>
  <c r="AA41" i="5" s="1"/>
  <c r="G42" i="5" a="1"/>
  <c r="G42" i="5" s="1"/>
  <c r="AA42" i="5" s="1"/>
  <c r="G43" i="5" a="1"/>
  <c r="G43" i="5" s="1"/>
  <c r="AA43" i="5" s="1"/>
  <c r="G44" i="5" a="1"/>
  <c r="G44" i="5" s="1"/>
  <c r="AA44" i="5" s="1"/>
  <c r="G45" i="5" a="1"/>
  <c r="G45" i="5" s="1"/>
  <c r="AA45" i="5" s="1"/>
  <c r="G46" i="5" a="1"/>
  <c r="G46" i="5" s="1"/>
  <c r="AA46" i="5" s="1"/>
  <c r="G47" i="5" a="1"/>
  <c r="G47" i="5" s="1"/>
  <c r="AA47" i="5" s="1"/>
  <c r="G48" i="5" a="1"/>
  <c r="G48" i="5" s="1"/>
  <c r="AA48" i="5" s="1"/>
  <c r="G49" i="5" a="1"/>
  <c r="G49" i="5" s="1"/>
  <c r="AA49" i="5" s="1"/>
  <c r="G50" i="5" a="1"/>
  <c r="G50" i="5" s="1"/>
  <c r="AA50" i="5" s="1"/>
  <c r="G51" i="5" a="1"/>
  <c r="G51" i="5" s="1"/>
  <c r="AA51" i="5" s="1"/>
  <c r="G52" i="5" a="1"/>
  <c r="G52" i="5" s="1"/>
  <c r="AA52" i="5" s="1"/>
  <c r="G53" i="5" a="1"/>
  <c r="G53" i="5" s="1"/>
  <c r="AA53" i="5" s="1"/>
  <c r="G54" i="5" a="1"/>
  <c r="G54" i="5" s="1"/>
  <c r="AA54" i="5" s="1"/>
  <c r="G55" i="5" a="1"/>
  <c r="G55" i="5" s="1"/>
  <c r="AA55" i="5" s="1"/>
  <c r="G56" i="5" a="1"/>
  <c r="G56" i="5" s="1"/>
  <c r="AA56" i="5" s="1"/>
  <c r="G57" i="5" a="1"/>
  <c r="G57" i="5" s="1"/>
  <c r="AA57" i="5" s="1"/>
  <c r="G58" i="5" a="1"/>
  <c r="G58" i="5" s="1"/>
  <c r="AA58" i="5" s="1"/>
  <c r="G59" i="5" a="1"/>
  <c r="G59" i="5" s="1"/>
  <c r="AA59" i="5" s="1"/>
  <c r="G60" i="5" a="1"/>
  <c r="G60" i="5" s="1"/>
  <c r="AA60" i="5" s="1"/>
  <c r="G61" i="5" a="1"/>
  <c r="G61" i="5" s="1"/>
  <c r="AA61" i="5" s="1"/>
  <c r="G62" i="5" a="1"/>
  <c r="G62" i="5" s="1"/>
  <c r="AA62" i="5" s="1"/>
  <c r="G63" i="5" a="1"/>
  <c r="G63" i="5" s="1"/>
  <c r="AA63" i="5" s="1"/>
  <c r="G64" i="5" a="1"/>
  <c r="G64" i="5" s="1"/>
  <c r="AA64" i="5" s="1"/>
  <c r="G65" i="5" a="1"/>
  <c r="G65" i="5" s="1"/>
  <c r="AA65" i="5" s="1"/>
  <c r="G66" i="5" a="1"/>
  <c r="G66" i="5" s="1"/>
  <c r="AA66" i="5" s="1"/>
  <c r="G67" i="5" a="1"/>
  <c r="G67" i="5" s="1"/>
  <c r="AA67" i="5" s="1"/>
  <c r="G68" i="5" a="1"/>
  <c r="G68" i="5" s="1"/>
  <c r="AA68" i="5" s="1"/>
  <c r="G69" i="5" a="1"/>
  <c r="G69" i="5" s="1"/>
  <c r="AA69" i="5" s="1"/>
  <c r="G70" i="5" a="1"/>
  <c r="G70" i="5" s="1"/>
  <c r="AA70" i="5" s="1"/>
  <c r="G71" i="5" a="1"/>
  <c r="G71" i="5" s="1"/>
  <c r="AA71" i="5" s="1"/>
  <c r="G72" i="5" a="1"/>
  <c r="G72" i="5" s="1"/>
  <c r="AA72" i="5" s="1"/>
  <c r="G73" i="5" a="1"/>
  <c r="G73" i="5" s="1"/>
  <c r="AA73" i="5" s="1"/>
  <c r="G74" i="5" a="1"/>
  <c r="G74" i="5" s="1"/>
  <c r="AA74" i="5" s="1"/>
  <c r="G75" i="5" a="1"/>
  <c r="G75" i="5" s="1"/>
  <c r="AA75" i="5" s="1"/>
  <c r="G76" i="5" a="1"/>
  <c r="G76" i="5" s="1"/>
  <c r="AA76" i="5" s="1"/>
  <c r="G77" i="5" a="1"/>
  <c r="G77" i="5" s="1"/>
  <c r="AA77" i="5" s="1"/>
  <c r="G78" i="5" a="1"/>
  <c r="G78" i="5" s="1"/>
  <c r="AA78" i="5" s="1"/>
  <c r="G79" i="5" a="1"/>
  <c r="G79" i="5" s="1"/>
  <c r="AA79" i="5" s="1"/>
  <c r="G80" i="5" a="1"/>
  <c r="G80" i="5" s="1"/>
  <c r="AA80" i="5" s="1"/>
  <c r="F2" i="5" a="1"/>
  <c r="F2" i="5" s="1"/>
  <c r="F3" i="5" a="1"/>
  <c r="F3" i="5" s="1"/>
  <c r="F4" i="5" a="1"/>
  <c r="F4" i="5" s="1"/>
  <c r="F5" i="5" a="1"/>
  <c r="F5" i="5" s="1"/>
  <c r="F6" i="5" a="1"/>
  <c r="F6" i="5" s="1"/>
  <c r="F7" i="5" a="1"/>
  <c r="F7" i="5" s="1"/>
  <c r="F8" i="5" a="1"/>
  <c r="F8" i="5" s="1"/>
  <c r="F9" i="5" a="1"/>
  <c r="F9" i="5" s="1"/>
  <c r="F10" i="5" a="1"/>
  <c r="F10" i="5" s="1"/>
  <c r="F11" i="5" a="1"/>
  <c r="F11" i="5" s="1"/>
  <c r="F12" i="5" a="1"/>
  <c r="F12" i="5" s="1"/>
  <c r="F13" i="5" a="1"/>
  <c r="F13" i="5" s="1"/>
  <c r="F14" i="5" a="1"/>
  <c r="F14" i="5" s="1"/>
  <c r="F15" i="5" a="1"/>
  <c r="F15" i="5" s="1"/>
  <c r="F16" i="5" a="1"/>
  <c r="F16" i="5" s="1"/>
  <c r="F17" i="5" a="1"/>
  <c r="F17" i="5" s="1"/>
  <c r="F18" i="5" a="1"/>
  <c r="F18" i="5" s="1"/>
  <c r="F19" i="5" a="1"/>
  <c r="F19" i="5" s="1"/>
  <c r="F20" i="5" a="1"/>
  <c r="F20" i="5" s="1"/>
  <c r="F21" i="5" a="1"/>
  <c r="F21" i="5" s="1"/>
  <c r="F22" i="5" a="1"/>
  <c r="F22" i="5" s="1"/>
  <c r="F23" i="5" a="1"/>
  <c r="F23" i="5" s="1"/>
  <c r="F24" i="5" a="1"/>
  <c r="F24" i="5" s="1"/>
  <c r="F25" i="5" a="1"/>
  <c r="F25" i="5" s="1"/>
  <c r="F26" i="5" a="1"/>
  <c r="F26" i="5" s="1"/>
  <c r="F27" i="5" a="1"/>
  <c r="F27" i="5" s="1"/>
  <c r="F28" i="5" a="1"/>
  <c r="F28" i="5" s="1"/>
  <c r="F29" i="5" a="1"/>
  <c r="F29" i="5" s="1"/>
  <c r="F30" i="5" a="1"/>
  <c r="F30" i="5" s="1"/>
  <c r="F31" i="5" a="1"/>
  <c r="F31" i="5" s="1"/>
  <c r="F32" i="5" a="1"/>
  <c r="F32" i="5" s="1"/>
  <c r="F33" i="5" a="1"/>
  <c r="F33" i="5" s="1"/>
  <c r="F34" i="5" a="1"/>
  <c r="F34" i="5" s="1"/>
  <c r="F35" i="5" a="1"/>
  <c r="F35" i="5" s="1"/>
  <c r="F36" i="5" a="1"/>
  <c r="F36" i="5" s="1"/>
  <c r="F37" i="5" a="1"/>
  <c r="F37" i="5" s="1"/>
  <c r="F38" i="5" a="1"/>
  <c r="F38" i="5" s="1"/>
  <c r="F39" i="5" a="1"/>
  <c r="F39" i="5" s="1"/>
  <c r="F40" i="5" a="1"/>
  <c r="F40" i="5" s="1"/>
  <c r="F41" i="5" a="1"/>
  <c r="F41" i="5" s="1"/>
  <c r="F42" i="5" a="1"/>
  <c r="F42" i="5" s="1"/>
  <c r="F43" i="5" a="1"/>
  <c r="F43" i="5" s="1"/>
  <c r="F44" i="5" a="1"/>
  <c r="F44" i="5" s="1"/>
  <c r="F45" i="5" a="1"/>
  <c r="F45" i="5" s="1"/>
  <c r="F46" i="5" a="1"/>
  <c r="F46" i="5" s="1"/>
  <c r="F47" i="5" a="1"/>
  <c r="F47" i="5" s="1"/>
  <c r="F48" i="5" a="1"/>
  <c r="F48" i="5" s="1"/>
  <c r="F49" i="5" a="1"/>
  <c r="F49" i="5" s="1"/>
  <c r="F50" i="5" a="1"/>
  <c r="F50" i="5" s="1"/>
  <c r="F51" i="5" a="1"/>
  <c r="F51" i="5" s="1"/>
  <c r="F52" i="5" a="1"/>
  <c r="F52" i="5" s="1"/>
  <c r="F53" i="5" a="1"/>
  <c r="F53" i="5" s="1"/>
  <c r="F54" i="5" a="1"/>
  <c r="F54" i="5" s="1"/>
  <c r="F55" i="5" a="1"/>
  <c r="F55" i="5" s="1"/>
  <c r="F56" i="5" a="1"/>
  <c r="F56" i="5" s="1"/>
  <c r="F57" i="5" a="1"/>
  <c r="F57" i="5" s="1"/>
  <c r="F58" i="5" a="1"/>
  <c r="F58" i="5" s="1"/>
  <c r="F59" i="5" a="1"/>
  <c r="F59" i="5" s="1"/>
  <c r="F60" i="5" a="1"/>
  <c r="F60" i="5" s="1"/>
  <c r="F61" i="5" a="1"/>
  <c r="F61" i="5" s="1"/>
  <c r="F62" i="5" a="1"/>
  <c r="F62" i="5" s="1"/>
  <c r="F63" i="5" a="1"/>
  <c r="F63" i="5" s="1"/>
  <c r="F64" i="5" a="1"/>
  <c r="F64" i="5" s="1"/>
  <c r="F65" i="5" a="1"/>
  <c r="F65" i="5" s="1"/>
  <c r="F66" i="5" a="1"/>
  <c r="F66" i="5" s="1"/>
  <c r="F67" i="5" a="1"/>
  <c r="F67" i="5" s="1"/>
  <c r="F68" i="5" a="1"/>
  <c r="F68" i="5" s="1"/>
  <c r="F69" i="5" a="1"/>
  <c r="F69" i="5" s="1"/>
  <c r="F70" i="5" a="1"/>
  <c r="F70" i="5" s="1"/>
  <c r="F71" i="5" a="1"/>
  <c r="F71" i="5" s="1"/>
  <c r="F72" i="5" a="1"/>
  <c r="F72" i="5" s="1"/>
  <c r="F73" i="5" a="1"/>
  <c r="F73" i="5" s="1"/>
  <c r="F74" i="5" a="1"/>
  <c r="F74" i="5" s="1"/>
  <c r="F75" i="5" a="1"/>
  <c r="F75" i="5" s="1"/>
  <c r="F76" i="5" a="1"/>
  <c r="F76" i="5" s="1"/>
  <c r="F77" i="5" a="1"/>
  <c r="F77" i="5" s="1"/>
  <c r="F78" i="5" a="1"/>
  <c r="F78" i="5" s="1"/>
  <c r="F79" i="5" a="1"/>
  <c r="F79" i="5" s="1"/>
  <c r="F80" i="5" a="1"/>
  <c r="F80" i="5" s="1"/>
  <c r="E2" i="5" a="1"/>
  <c r="E2" i="5" s="1"/>
  <c r="E3" i="5" a="1"/>
  <c r="E3" i="5" s="1"/>
  <c r="E4" i="5" a="1"/>
  <c r="E4" i="5" s="1"/>
  <c r="E5" i="5" a="1"/>
  <c r="E5" i="5" s="1"/>
  <c r="E6" i="5" a="1"/>
  <c r="E6" i="5" s="1"/>
  <c r="E7" i="5" a="1"/>
  <c r="E7" i="5" s="1"/>
  <c r="E8" i="5" a="1"/>
  <c r="E8" i="5" s="1"/>
  <c r="E9" i="5" a="1"/>
  <c r="E9" i="5" s="1"/>
  <c r="E10" i="5" a="1"/>
  <c r="E10" i="5" s="1"/>
  <c r="E11" i="5" a="1"/>
  <c r="E11" i="5" s="1"/>
  <c r="E12" i="5" a="1"/>
  <c r="E12" i="5" s="1"/>
  <c r="E13" i="5" a="1"/>
  <c r="E13" i="5" s="1"/>
  <c r="E14" i="5" a="1"/>
  <c r="E14" i="5" s="1"/>
  <c r="E15" i="5" a="1"/>
  <c r="E15" i="5" s="1"/>
  <c r="E16" i="5" a="1"/>
  <c r="E16" i="5" s="1"/>
  <c r="E17" i="5" a="1"/>
  <c r="E17" i="5" s="1"/>
  <c r="E18" i="5" a="1"/>
  <c r="E18" i="5" s="1"/>
  <c r="E19" i="5" a="1"/>
  <c r="E19" i="5" s="1"/>
  <c r="E20" i="5" a="1"/>
  <c r="E20" i="5" s="1"/>
  <c r="E21" i="5" a="1"/>
  <c r="E21" i="5" s="1"/>
  <c r="E22" i="5" a="1"/>
  <c r="E22" i="5" s="1"/>
  <c r="E23" i="5" a="1"/>
  <c r="E23" i="5" s="1"/>
  <c r="E24" i="5" a="1"/>
  <c r="E24" i="5" s="1"/>
  <c r="E25" i="5" a="1"/>
  <c r="E25" i="5" s="1"/>
  <c r="E26" i="5" a="1"/>
  <c r="E26" i="5" s="1"/>
  <c r="E27" i="5" a="1"/>
  <c r="E27" i="5" s="1"/>
  <c r="E28" i="5" a="1"/>
  <c r="E28" i="5" s="1"/>
  <c r="E29" i="5" a="1"/>
  <c r="E29" i="5" s="1"/>
  <c r="E30" i="5" a="1"/>
  <c r="E30" i="5" s="1"/>
  <c r="E31" i="5" a="1"/>
  <c r="E31" i="5" s="1"/>
  <c r="E32" i="5" a="1"/>
  <c r="E32" i="5" s="1"/>
  <c r="E33" i="5" a="1"/>
  <c r="E33" i="5" s="1"/>
  <c r="E34" i="5" a="1"/>
  <c r="E34" i="5" s="1"/>
  <c r="E35" i="5" a="1"/>
  <c r="E35" i="5" s="1"/>
  <c r="E36" i="5" a="1"/>
  <c r="E36" i="5" s="1"/>
  <c r="E37" i="5" a="1"/>
  <c r="E37" i="5" s="1"/>
  <c r="E38" i="5" a="1"/>
  <c r="E38" i="5" s="1"/>
  <c r="E39" i="5" a="1"/>
  <c r="E39" i="5" s="1"/>
  <c r="E40" i="5" a="1"/>
  <c r="E40" i="5" s="1"/>
  <c r="E41" i="5" a="1"/>
  <c r="E41" i="5" s="1"/>
  <c r="E42" i="5" a="1"/>
  <c r="E42" i="5" s="1"/>
  <c r="E43" i="5" a="1"/>
  <c r="E43" i="5" s="1"/>
  <c r="E44" i="5" a="1"/>
  <c r="E44" i="5" s="1"/>
  <c r="E45" i="5" a="1"/>
  <c r="E45" i="5" s="1"/>
  <c r="E46" i="5" a="1"/>
  <c r="E46" i="5" s="1"/>
  <c r="E47" i="5" a="1"/>
  <c r="E47" i="5" s="1"/>
  <c r="E48" i="5" a="1"/>
  <c r="E48" i="5" s="1"/>
  <c r="E49" i="5" a="1"/>
  <c r="E49" i="5" s="1"/>
  <c r="E50" i="5" a="1"/>
  <c r="E50" i="5" s="1"/>
  <c r="E51" i="5" a="1"/>
  <c r="E51" i="5" s="1"/>
  <c r="E52" i="5" a="1"/>
  <c r="E52" i="5" s="1"/>
  <c r="E53" i="5" a="1"/>
  <c r="E53" i="5" s="1"/>
  <c r="E54" i="5" a="1"/>
  <c r="E54" i="5" s="1"/>
  <c r="E55" i="5" a="1"/>
  <c r="E55" i="5" s="1"/>
  <c r="E56" i="5" a="1"/>
  <c r="E56" i="5" s="1"/>
  <c r="E57" i="5" a="1"/>
  <c r="E57" i="5" s="1"/>
  <c r="E58" i="5" a="1"/>
  <c r="E58" i="5" s="1"/>
  <c r="E59" i="5" a="1"/>
  <c r="E59" i="5" s="1"/>
  <c r="E60" i="5" a="1"/>
  <c r="E60" i="5" s="1"/>
  <c r="E61" i="5" a="1"/>
  <c r="E61" i="5" s="1"/>
  <c r="E62" i="5" a="1"/>
  <c r="E62" i="5" s="1"/>
  <c r="E63" i="5" a="1"/>
  <c r="E63" i="5" s="1"/>
  <c r="E64" i="5" a="1"/>
  <c r="E64" i="5" s="1"/>
  <c r="E65" i="5" a="1"/>
  <c r="E65" i="5" s="1"/>
  <c r="E66" i="5" a="1"/>
  <c r="E66" i="5" s="1"/>
  <c r="E67" i="5" a="1"/>
  <c r="E67" i="5" s="1"/>
  <c r="E68" i="5" a="1"/>
  <c r="E68" i="5" s="1"/>
  <c r="E69" i="5" a="1"/>
  <c r="E69" i="5" s="1"/>
  <c r="E70" i="5" a="1"/>
  <c r="E70" i="5" s="1"/>
  <c r="E71" i="5" a="1"/>
  <c r="E71" i="5" s="1"/>
  <c r="E72" i="5" a="1"/>
  <c r="E72" i="5" s="1"/>
  <c r="E73" i="5" a="1"/>
  <c r="E73" i="5" s="1"/>
  <c r="E74" i="5" a="1"/>
  <c r="E74" i="5" s="1"/>
  <c r="E75" i="5" a="1"/>
  <c r="E75" i="5" s="1"/>
  <c r="E76" i="5" a="1"/>
  <c r="E76" i="5" s="1"/>
  <c r="E77" i="5" a="1"/>
  <c r="E77" i="5" s="1"/>
  <c r="E78" i="5" a="1"/>
  <c r="E78" i="5" s="1"/>
  <c r="E79" i="5" a="1"/>
  <c r="E79" i="5" s="1"/>
  <c r="E80" i="5" a="1"/>
  <c r="E80" i="5" s="1"/>
  <c r="D2" i="5" a="1"/>
  <c r="D2" i="5" s="1"/>
  <c r="D3" i="5" a="1"/>
  <c r="D3" i="5" s="1"/>
  <c r="D4" i="5" a="1"/>
  <c r="D4" i="5" s="1"/>
  <c r="D5" i="5" a="1"/>
  <c r="D5" i="5" s="1"/>
  <c r="D6" i="5" a="1"/>
  <c r="D6" i="5" s="1"/>
  <c r="D7" i="5" a="1"/>
  <c r="D7" i="5" s="1"/>
  <c r="D8" i="5" a="1"/>
  <c r="D8" i="5" s="1"/>
  <c r="D9" i="5" a="1"/>
  <c r="D9" i="5" s="1"/>
  <c r="D10" i="5" a="1"/>
  <c r="D10" i="5" s="1"/>
  <c r="D11" i="5" a="1"/>
  <c r="D11" i="5" s="1"/>
  <c r="D12" i="5" a="1"/>
  <c r="D12" i="5" s="1"/>
  <c r="D13" i="5" a="1"/>
  <c r="D13" i="5" s="1"/>
  <c r="D14" i="5" a="1"/>
  <c r="D14" i="5" s="1"/>
  <c r="D15" i="5" a="1"/>
  <c r="D15" i="5" s="1"/>
  <c r="D16" i="5" a="1"/>
  <c r="D16" i="5" s="1"/>
  <c r="D17" i="5" a="1"/>
  <c r="D17" i="5" s="1"/>
  <c r="D18" i="5" a="1"/>
  <c r="D18" i="5" s="1"/>
  <c r="D19" i="5" a="1"/>
  <c r="D19" i="5" s="1"/>
  <c r="D20" i="5" a="1"/>
  <c r="D20" i="5" s="1"/>
  <c r="D21" i="5" a="1"/>
  <c r="D21" i="5" s="1"/>
  <c r="D22" i="5" a="1"/>
  <c r="D22" i="5" s="1"/>
  <c r="D23" i="5" a="1"/>
  <c r="D23" i="5" s="1"/>
  <c r="D24" i="5" a="1"/>
  <c r="D24" i="5" s="1"/>
  <c r="D25" i="5" a="1"/>
  <c r="D25" i="5" s="1"/>
  <c r="D26" i="5" a="1"/>
  <c r="D26" i="5" s="1"/>
  <c r="D27" i="5" a="1"/>
  <c r="D27" i="5" s="1"/>
  <c r="D28" i="5" a="1"/>
  <c r="D28" i="5" s="1"/>
  <c r="D29" i="5" a="1"/>
  <c r="D29" i="5" s="1"/>
  <c r="D30" i="5" a="1"/>
  <c r="D30" i="5" s="1"/>
  <c r="D31" i="5" a="1"/>
  <c r="D31" i="5" s="1"/>
  <c r="D32" i="5" a="1"/>
  <c r="D32" i="5" s="1"/>
  <c r="D33" i="5" a="1"/>
  <c r="D33" i="5" s="1"/>
  <c r="D34" i="5" a="1"/>
  <c r="D34" i="5" s="1"/>
  <c r="D35" i="5" a="1"/>
  <c r="D35" i="5" s="1"/>
  <c r="D36" i="5" a="1"/>
  <c r="D36" i="5" s="1"/>
  <c r="D37" i="5" a="1"/>
  <c r="D37" i="5" s="1"/>
  <c r="D38" i="5" a="1"/>
  <c r="D38" i="5" s="1"/>
  <c r="D39" i="5" a="1"/>
  <c r="D39" i="5" s="1"/>
  <c r="D40" i="5" a="1"/>
  <c r="D40" i="5" s="1"/>
  <c r="D41" i="5" a="1"/>
  <c r="D41" i="5" s="1"/>
  <c r="D42" i="5" a="1"/>
  <c r="D42" i="5" s="1"/>
  <c r="D43" i="5" a="1"/>
  <c r="D43" i="5" s="1"/>
  <c r="D44" i="5" a="1"/>
  <c r="D44" i="5" s="1"/>
  <c r="D45" i="5" a="1"/>
  <c r="D45" i="5" s="1"/>
  <c r="D46" i="5" a="1"/>
  <c r="D46" i="5" s="1"/>
  <c r="D47" i="5" a="1"/>
  <c r="D47" i="5" s="1"/>
  <c r="D48" i="5" a="1"/>
  <c r="D48" i="5" s="1"/>
  <c r="D49" i="5" a="1"/>
  <c r="D49" i="5" s="1"/>
  <c r="D50" i="5" a="1"/>
  <c r="D50" i="5" s="1"/>
  <c r="D51" i="5" a="1"/>
  <c r="D51" i="5" s="1"/>
  <c r="D52" i="5" a="1"/>
  <c r="D52" i="5" s="1"/>
  <c r="D53" i="5" a="1"/>
  <c r="D53" i="5" s="1"/>
  <c r="D54" i="5" a="1"/>
  <c r="D54" i="5" s="1"/>
  <c r="D55" i="5" a="1"/>
  <c r="D55" i="5" s="1"/>
  <c r="D56" i="5" a="1"/>
  <c r="D56" i="5" s="1"/>
  <c r="D57" i="5" a="1"/>
  <c r="D57" i="5" s="1"/>
  <c r="D58" i="5" a="1"/>
  <c r="D58" i="5" s="1"/>
  <c r="D59" i="5" a="1"/>
  <c r="D59" i="5" s="1"/>
  <c r="D60" i="5" a="1"/>
  <c r="D60" i="5" s="1"/>
  <c r="D61" i="5" a="1"/>
  <c r="D61" i="5" s="1"/>
  <c r="D62" i="5" a="1"/>
  <c r="D62" i="5" s="1"/>
  <c r="D63" i="5" a="1"/>
  <c r="D63" i="5" s="1"/>
  <c r="D64" i="5" a="1"/>
  <c r="D64" i="5" s="1"/>
  <c r="D65" i="5" a="1"/>
  <c r="D65" i="5" s="1"/>
  <c r="D66" i="5" a="1"/>
  <c r="D66" i="5" s="1"/>
  <c r="D67" i="5" a="1"/>
  <c r="D67" i="5" s="1"/>
  <c r="D68" i="5" a="1"/>
  <c r="D68" i="5" s="1"/>
  <c r="D69" i="5" a="1"/>
  <c r="D69" i="5" s="1"/>
  <c r="D70" i="5" a="1"/>
  <c r="D70" i="5" s="1"/>
  <c r="D71" i="5" a="1"/>
  <c r="D71" i="5" s="1"/>
  <c r="D72" i="5" a="1"/>
  <c r="D72" i="5" s="1"/>
  <c r="D73" i="5" a="1"/>
  <c r="D73" i="5" s="1"/>
  <c r="D74" i="5" a="1"/>
  <c r="D74" i="5" s="1"/>
  <c r="D75" i="5" a="1"/>
  <c r="D75" i="5" s="1"/>
  <c r="D76" i="5" a="1"/>
  <c r="D76" i="5" s="1"/>
  <c r="D77" i="5" a="1"/>
  <c r="D77" i="5" s="1"/>
  <c r="D78" i="5" a="1"/>
  <c r="D78" i="5" s="1"/>
  <c r="D79" i="5" a="1"/>
  <c r="D79" i="5" s="1"/>
  <c r="D80" i="5" a="1"/>
  <c r="D80" i="5" s="1"/>
  <c r="C2" i="5" a="1"/>
  <c r="C2" i="5" s="1"/>
  <c r="C3" i="5" a="1"/>
  <c r="C3" i="5" s="1"/>
  <c r="C4" i="5" a="1"/>
  <c r="C4" i="5" s="1"/>
  <c r="C5" i="5" a="1"/>
  <c r="C5" i="5" s="1"/>
  <c r="C6" i="5" a="1"/>
  <c r="C6" i="5" s="1"/>
  <c r="C7" i="5" a="1"/>
  <c r="C7" i="5" s="1"/>
  <c r="C8" i="5" a="1"/>
  <c r="C8" i="5" s="1"/>
  <c r="C9" i="5" a="1"/>
  <c r="C9" i="5" s="1"/>
  <c r="C10" i="5" a="1"/>
  <c r="C10" i="5" s="1"/>
  <c r="C11" i="5" a="1"/>
  <c r="C11" i="5" s="1"/>
  <c r="C12" i="5" a="1"/>
  <c r="C12" i="5" s="1"/>
  <c r="C13" i="5" a="1"/>
  <c r="C13" i="5" s="1"/>
  <c r="C14" i="5" a="1"/>
  <c r="C14" i="5" s="1"/>
  <c r="C15" i="5" a="1"/>
  <c r="C15" i="5" s="1"/>
  <c r="C16" i="5" a="1"/>
  <c r="C16" i="5" s="1"/>
  <c r="C17" i="5" a="1"/>
  <c r="C17" i="5" s="1"/>
  <c r="C18" i="5" a="1"/>
  <c r="C18" i="5" s="1"/>
  <c r="C19" i="5" a="1"/>
  <c r="C19" i="5" s="1"/>
  <c r="C20" i="5" a="1"/>
  <c r="C20" i="5" s="1"/>
  <c r="C21" i="5" a="1"/>
  <c r="C21" i="5" s="1"/>
  <c r="C22" i="5" a="1"/>
  <c r="C22" i="5" s="1"/>
  <c r="C23" i="5" a="1"/>
  <c r="C23" i="5" s="1"/>
  <c r="C24" i="5" a="1"/>
  <c r="C24" i="5" s="1"/>
  <c r="C25" i="5" a="1"/>
  <c r="C25" i="5" s="1"/>
  <c r="C26" i="5" a="1"/>
  <c r="C26" i="5" s="1"/>
  <c r="C27" i="5" a="1"/>
  <c r="C27" i="5" s="1"/>
  <c r="C28" i="5" a="1"/>
  <c r="C28" i="5" s="1"/>
  <c r="C29" i="5" a="1"/>
  <c r="C29" i="5" s="1"/>
  <c r="C30" i="5" a="1"/>
  <c r="C30" i="5" s="1"/>
  <c r="C31" i="5" a="1"/>
  <c r="C31" i="5" s="1"/>
  <c r="C32" i="5" a="1"/>
  <c r="C32" i="5" s="1"/>
  <c r="C33" i="5" a="1"/>
  <c r="C33" i="5" s="1"/>
  <c r="C34" i="5" a="1"/>
  <c r="C34" i="5" s="1"/>
  <c r="C35" i="5" a="1"/>
  <c r="C35" i="5" s="1"/>
  <c r="C36" i="5" a="1"/>
  <c r="C36" i="5" s="1"/>
  <c r="C37" i="5" a="1"/>
  <c r="C37" i="5" s="1"/>
  <c r="C38" i="5" a="1"/>
  <c r="C38" i="5" s="1"/>
  <c r="C39" i="5" a="1"/>
  <c r="C39" i="5" s="1"/>
  <c r="C40" i="5" a="1"/>
  <c r="C40" i="5" s="1"/>
  <c r="C41" i="5" a="1"/>
  <c r="C41" i="5" s="1"/>
  <c r="C42" i="5" a="1"/>
  <c r="C42" i="5" s="1"/>
  <c r="C43" i="5" a="1"/>
  <c r="C43" i="5" s="1"/>
  <c r="C44" i="5" a="1"/>
  <c r="C44" i="5" s="1"/>
  <c r="C45" i="5" a="1"/>
  <c r="C45" i="5" s="1"/>
  <c r="C46" i="5" a="1"/>
  <c r="C46" i="5" s="1"/>
  <c r="C47" i="5" a="1"/>
  <c r="C47" i="5" s="1"/>
  <c r="C48" i="5" a="1"/>
  <c r="C48" i="5" s="1"/>
  <c r="C49" i="5" a="1"/>
  <c r="C49" i="5" s="1"/>
  <c r="C50" i="5" a="1"/>
  <c r="C50" i="5" s="1"/>
  <c r="C51" i="5" a="1"/>
  <c r="C51" i="5" s="1"/>
  <c r="C52" i="5" a="1"/>
  <c r="C52" i="5" s="1"/>
  <c r="C53" i="5" a="1"/>
  <c r="C53" i="5" s="1"/>
  <c r="C54" i="5" a="1"/>
  <c r="C54" i="5" s="1"/>
  <c r="C55" i="5" a="1"/>
  <c r="C55" i="5" s="1"/>
  <c r="C56" i="5" a="1"/>
  <c r="C56" i="5" s="1"/>
  <c r="C57" i="5" a="1"/>
  <c r="C57" i="5" s="1"/>
  <c r="C58" i="5" a="1"/>
  <c r="C58" i="5" s="1"/>
  <c r="C59" i="5" a="1"/>
  <c r="C59" i="5" s="1"/>
  <c r="C60" i="5" a="1"/>
  <c r="C60" i="5" s="1"/>
  <c r="C61" i="5" a="1"/>
  <c r="C61" i="5" s="1"/>
  <c r="C62" i="5" a="1"/>
  <c r="C62" i="5" s="1"/>
  <c r="C63" i="5" a="1"/>
  <c r="C63" i="5" s="1"/>
  <c r="C64" i="5" a="1"/>
  <c r="C64" i="5" s="1"/>
  <c r="C65" i="5" a="1"/>
  <c r="C65" i="5" s="1"/>
  <c r="C66" i="5" a="1"/>
  <c r="C66" i="5" s="1"/>
  <c r="C67" i="5" a="1"/>
  <c r="C67" i="5" s="1"/>
  <c r="C68" i="5" a="1"/>
  <c r="C68" i="5" s="1"/>
  <c r="C69" i="5" a="1"/>
  <c r="C69" i="5" s="1"/>
  <c r="C70" i="5" a="1"/>
  <c r="C70" i="5" s="1"/>
  <c r="C71" i="5" a="1"/>
  <c r="C71" i="5" s="1"/>
  <c r="C72" i="5" a="1"/>
  <c r="C72" i="5" s="1"/>
  <c r="C73" i="5" a="1"/>
  <c r="C73" i="5" s="1"/>
  <c r="C74" i="5" a="1"/>
  <c r="C74" i="5" s="1"/>
  <c r="C75" i="5" a="1"/>
  <c r="C75" i="5" s="1"/>
  <c r="C76" i="5" a="1"/>
  <c r="C76" i="5" s="1"/>
  <c r="C77" i="5" a="1"/>
  <c r="C77" i="5" s="1"/>
  <c r="C78" i="5" a="1"/>
  <c r="C78" i="5" s="1"/>
  <c r="C79" i="5" a="1"/>
  <c r="C79" i="5" s="1"/>
  <c r="C80" i="5" a="1"/>
  <c r="C80" i="5" s="1"/>
  <c r="B2" i="5" a="1"/>
  <c r="B2" i="5" s="1"/>
  <c r="B3" i="5" a="1"/>
  <c r="B3" i="5" s="1"/>
  <c r="B4" i="5" a="1"/>
  <c r="B4" i="5" s="1"/>
  <c r="B5" i="5" a="1"/>
  <c r="B5" i="5" s="1"/>
  <c r="B6" i="5" a="1"/>
  <c r="B6" i="5" s="1"/>
  <c r="B7" i="5" a="1"/>
  <c r="B7" i="5" s="1"/>
  <c r="B8" i="5" a="1"/>
  <c r="B8" i="5" s="1"/>
  <c r="B9" i="5" a="1"/>
  <c r="B9" i="5" s="1"/>
  <c r="B10" i="5" a="1"/>
  <c r="B10" i="5" s="1"/>
  <c r="B11" i="5" a="1"/>
  <c r="B11" i="5" s="1"/>
  <c r="B12" i="5" a="1"/>
  <c r="B12" i="5" s="1"/>
  <c r="B13" i="5" a="1"/>
  <c r="B13" i="5" s="1"/>
  <c r="B14" i="5" a="1"/>
  <c r="B14" i="5" s="1"/>
  <c r="B15" i="5" a="1"/>
  <c r="B15" i="5" s="1"/>
  <c r="B16" i="5" a="1"/>
  <c r="B16" i="5" s="1"/>
  <c r="B17" i="5" a="1"/>
  <c r="B17" i="5" s="1"/>
  <c r="B18" i="5" a="1"/>
  <c r="B18" i="5" s="1"/>
  <c r="B19" i="5" a="1"/>
  <c r="B19" i="5" s="1"/>
  <c r="B20" i="5" a="1"/>
  <c r="B20" i="5" s="1"/>
  <c r="B21" i="5" a="1"/>
  <c r="B21" i="5" s="1"/>
  <c r="B22" i="5" a="1"/>
  <c r="B22" i="5" s="1"/>
  <c r="B23" i="5" a="1"/>
  <c r="B23" i="5" s="1"/>
  <c r="B24" i="5" a="1"/>
  <c r="B24" i="5" s="1"/>
  <c r="B25" i="5" a="1"/>
  <c r="B25" i="5" s="1"/>
  <c r="B26" i="5" a="1"/>
  <c r="B26" i="5" s="1"/>
  <c r="B27" i="5" a="1"/>
  <c r="B27" i="5" s="1"/>
  <c r="B28" i="5" a="1"/>
  <c r="B28" i="5" s="1"/>
  <c r="B29" i="5" a="1"/>
  <c r="B29" i="5" s="1"/>
  <c r="B30" i="5" a="1"/>
  <c r="B30" i="5" s="1"/>
  <c r="B31" i="5" a="1"/>
  <c r="B31" i="5" s="1"/>
  <c r="B32" i="5" a="1"/>
  <c r="B32" i="5" s="1"/>
  <c r="B33" i="5" a="1"/>
  <c r="B33" i="5" s="1"/>
  <c r="B34" i="5" a="1"/>
  <c r="B34" i="5" s="1"/>
  <c r="B35" i="5" a="1"/>
  <c r="B35" i="5" s="1"/>
  <c r="B36" i="5" a="1"/>
  <c r="B36" i="5" s="1"/>
  <c r="B37" i="5" a="1"/>
  <c r="B37" i="5" s="1"/>
  <c r="B38" i="5" a="1"/>
  <c r="B38" i="5" s="1"/>
  <c r="B39" i="5" a="1"/>
  <c r="B39" i="5" s="1"/>
  <c r="B40" i="5" a="1"/>
  <c r="B40" i="5" s="1"/>
  <c r="B41" i="5" a="1"/>
  <c r="B41" i="5" s="1"/>
  <c r="B42" i="5" a="1"/>
  <c r="B42" i="5" s="1"/>
  <c r="B43" i="5" a="1"/>
  <c r="B43" i="5" s="1"/>
  <c r="B44" i="5" a="1"/>
  <c r="B44" i="5" s="1"/>
  <c r="B45" i="5" a="1"/>
  <c r="B45" i="5" s="1"/>
  <c r="B46" i="5" a="1"/>
  <c r="B46" i="5" s="1"/>
  <c r="B47" i="5" a="1"/>
  <c r="B47" i="5" s="1"/>
  <c r="B48" i="5" a="1"/>
  <c r="B48" i="5" s="1"/>
  <c r="B49" i="5" a="1"/>
  <c r="B49" i="5" s="1"/>
  <c r="B50" i="5" a="1"/>
  <c r="B50" i="5" s="1"/>
  <c r="B51" i="5" a="1"/>
  <c r="B51" i="5" s="1"/>
  <c r="B52" i="5" a="1"/>
  <c r="B52" i="5" s="1"/>
  <c r="B53" i="5" a="1"/>
  <c r="B53" i="5" s="1"/>
  <c r="B54" i="5" a="1"/>
  <c r="B54" i="5" s="1"/>
  <c r="B55" i="5" a="1"/>
  <c r="B55" i="5" s="1"/>
  <c r="B56" i="5" a="1"/>
  <c r="B56" i="5" s="1"/>
  <c r="B57" i="5" a="1"/>
  <c r="B57" i="5" s="1"/>
  <c r="B58" i="5" a="1"/>
  <c r="B58" i="5" s="1"/>
  <c r="B59" i="5" a="1"/>
  <c r="B59" i="5" s="1"/>
  <c r="B60" i="5" a="1"/>
  <c r="B60" i="5" s="1"/>
  <c r="B61" i="5" a="1"/>
  <c r="B61" i="5" s="1"/>
  <c r="B62" i="5" a="1"/>
  <c r="B62" i="5" s="1"/>
  <c r="B63" i="5" a="1"/>
  <c r="B63" i="5" s="1"/>
  <c r="B64" i="5" a="1"/>
  <c r="B64" i="5" s="1"/>
  <c r="B65" i="5" a="1"/>
  <c r="B65" i="5" s="1"/>
  <c r="B66" i="5" a="1"/>
  <c r="B66" i="5" s="1"/>
  <c r="B67" i="5" a="1"/>
  <c r="B67" i="5" s="1"/>
  <c r="B68" i="5" a="1"/>
  <c r="B68" i="5" s="1"/>
  <c r="B69" i="5" a="1"/>
  <c r="B69" i="5" s="1"/>
  <c r="B70" i="5" a="1"/>
  <c r="B70" i="5" s="1"/>
  <c r="B71" i="5" a="1"/>
  <c r="B71" i="5" s="1"/>
  <c r="B72" i="5" a="1"/>
  <c r="B72" i="5" s="1"/>
  <c r="B73" i="5" a="1"/>
  <c r="B73" i="5" s="1"/>
  <c r="B74" i="5" a="1"/>
  <c r="B74" i="5" s="1"/>
  <c r="B75" i="5" a="1"/>
  <c r="B75" i="5" s="1"/>
  <c r="B76" i="5" a="1"/>
  <c r="B76" i="5" s="1"/>
  <c r="B77" i="5" a="1"/>
  <c r="B77" i="5" s="1"/>
  <c r="B78" i="5" a="1"/>
  <c r="B78" i="5" s="1"/>
  <c r="B79" i="5" a="1"/>
  <c r="B79" i="5" s="1"/>
  <c r="B80" i="5" a="1"/>
  <c r="B80" i="5" s="1"/>
  <c r="G34" i="4" a="1"/>
  <c r="G34" i="4" s="1"/>
  <c r="G35" i="4" a="1"/>
  <c r="G35" i="4" s="1"/>
  <c r="G36" i="4" a="1"/>
  <c r="G36" i="4" s="1"/>
  <c r="G37" i="4" a="1"/>
  <c r="G37" i="4" s="1"/>
  <c r="G38" i="4" a="1"/>
  <c r="G38" i="4" s="1"/>
  <c r="G39" i="4" a="1"/>
  <c r="G39" i="4" s="1"/>
  <c r="G40" i="4" a="1"/>
  <c r="G40" i="4" s="1"/>
  <c r="G41" i="4" a="1"/>
  <c r="G41" i="4" s="1"/>
  <c r="G42" i="4" a="1"/>
  <c r="G42" i="4" s="1"/>
  <c r="G43" i="4" a="1"/>
  <c r="G43" i="4" s="1"/>
  <c r="G44" i="4" a="1"/>
  <c r="G44" i="4" s="1"/>
  <c r="G45" i="4" a="1"/>
  <c r="G45" i="4" s="1"/>
  <c r="G46" i="4" a="1"/>
  <c r="G46" i="4" s="1"/>
  <c r="G47" i="4" a="1"/>
  <c r="G47" i="4" s="1"/>
  <c r="G48" i="4" a="1"/>
  <c r="G48" i="4" s="1"/>
  <c r="G49" i="4" a="1"/>
  <c r="G49" i="4" s="1"/>
  <c r="G50" i="4" a="1"/>
  <c r="G50" i="4" s="1"/>
  <c r="G51" i="4" a="1"/>
  <c r="G51" i="4" s="1"/>
  <c r="G52" i="4" a="1"/>
  <c r="G52" i="4" s="1"/>
  <c r="G53" i="4" a="1"/>
  <c r="G53" i="4" s="1"/>
  <c r="G55" i="4" a="1"/>
  <c r="G55" i="4" s="1"/>
  <c r="G56" i="4" a="1"/>
  <c r="G56" i="4" s="1"/>
  <c r="G57" i="4" a="1"/>
  <c r="G57" i="4" s="1"/>
  <c r="G58" i="4" a="1"/>
  <c r="G58" i="4" s="1"/>
  <c r="G59" i="4" a="1"/>
  <c r="G59" i="4" s="1"/>
  <c r="G60" i="4" a="1"/>
  <c r="G60" i="4" s="1"/>
  <c r="G61" i="4" a="1"/>
  <c r="G61" i="4" s="1"/>
  <c r="G54" i="4" a="1"/>
  <c r="G54" i="4" s="1"/>
  <c r="G62" i="4" a="1"/>
  <c r="G62" i="4" s="1"/>
  <c r="G63" i="4" a="1"/>
  <c r="G63" i="4" s="1"/>
  <c r="G64" i="4" a="1"/>
  <c r="G64" i="4" s="1"/>
  <c r="G65" i="4" a="1"/>
  <c r="G65" i="4" s="1"/>
  <c r="G66" i="4" a="1"/>
  <c r="G66" i="4" s="1"/>
  <c r="G67" i="4" a="1"/>
  <c r="G67" i="4" s="1"/>
  <c r="G68" i="4" a="1"/>
  <c r="G68" i="4" s="1"/>
  <c r="G70" i="4" a="1"/>
  <c r="G70" i="4" s="1"/>
  <c r="G72" i="4" a="1"/>
  <c r="G72" i="4" s="1"/>
  <c r="G74" i="4" a="1"/>
  <c r="G74" i="4" s="1"/>
  <c r="G75" i="4" a="1"/>
  <c r="G75" i="4" s="1"/>
  <c r="G76" i="4" a="1"/>
  <c r="G76" i="4" s="1"/>
  <c r="G69" i="4" a="1"/>
  <c r="G69" i="4" s="1"/>
  <c r="G77" i="4" a="1"/>
  <c r="G77" i="4" s="1"/>
  <c r="G26" i="4" a="1"/>
  <c r="G26" i="4" s="1"/>
  <c r="G71" i="4" a="1"/>
  <c r="G71" i="4" s="1"/>
  <c r="G78" i="4" a="1"/>
  <c r="G78" i="4" s="1"/>
  <c r="G79" i="4" a="1"/>
  <c r="G79" i="4" s="1"/>
  <c r="G80" i="4" a="1"/>
  <c r="G80" i="4" s="1"/>
  <c r="G81" i="4" a="1"/>
  <c r="G81" i="4" s="1"/>
  <c r="F34" i="4" a="1"/>
  <c r="F34" i="4" s="1"/>
  <c r="F35" i="4" a="1"/>
  <c r="F35" i="4" s="1"/>
  <c r="F36" i="4" a="1"/>
  <c r="F36" i="4" s="1"/>
  <c r="F37" i="4" a="1"/>
  <c r="F37" i="4" s="1"/>
  <c r="F38" i="4" a="1"/>
  <c r="F38" i="4" s="1"/>
  <c r="F39" i="4" a="1"/>
  <c r="F39" i="4" s="1"/>
  <c r="F40" i="4" a="1"/>
  <c r="F40" i="4" s="1"/>
  <c r="F41" i="4" a="1"/>
  <c r="F41" i="4" s="1"/>
  <c r="F42" i="4" a="1"/>
  <c r="F42" i="4" s="1"/>
  <c r="F43" i="4" a="1"/>
  <c r="F43" i="4" s="1"/>
  <c r="F44" i="4" a="1"/>
  <c r="F44" i="4" s="1"/>
  <c r="F45" i="4" a="1"/>
  <c r="F45" i="4" s="1"/>
  <c r="F46" i="4" a="1"/>
  <c r="F46" i="4" s="1"/>
  <c r="F47" i="4" a="1"/>
  <c r="F47" i="4" s="1"/>
  <c r="F48" i="4" a="1"/>
  <c r="F48" i="4" s="1"/>
  <c r="F49" i="4" a="1"/>
  <c r="F49" i="4" s="1"/>
  <c r="F50" i="4" a="1"/>
  <c r="F50" i="4" s="1"/>
  <c r="F51" i="4" a="1"/>
  <c r="F51" i="4" s="1"/>
  <c r="F52" i="4" a="1"/>
  <c r="F52" i="4" s="1"/>
  <c r="F53" i="4" a="1"/>
  <c r="F53" i="4" s="1"/>
  <c r="F55" i="4" a="1"/>
  <c r="F55" i="4" s="1"/>
  <c r="F56" i="4" a="1"/>
  <c r="F56" i="4" s="1"/>
  <c r="F57" i="4" a="1"/>
  <c r="F57" i="4" s="1"/>
  <c r="F58" i="4" a="1"/>
  <c r="F58" i="4" s="1"/>
  <c r="F59" i="4" a="1"/>
  <c r="F59" i="4" s="1"/>
  <c r="F60" i="4" a="1"/>
  <c r="F60" i="4" s="1"/>
  <c r="F61" i="4" a="1"/>
  <c r="F61" i="4" s="1"/>
  <c r="F54" i="4" a="1"/>
  <c r="F54" i="4" s="1"/>
  <c r="F62" i="4" a="1"/>
  <c r="F62" i="4" s="1"/>
  <c r="F63" i="4" a="1"/>
  <c r="F63" i="4" s="1"/>
  <c r="F64" i="4" a="1"/>
  <c r="F64" i="4" s="1"/>
  <c r="F65" i="4" a="1"/>
  <c r="F65" i="4" s="1"/>
  <c r="F66" i="4" a="1"/>
  <c r="F66" i="4" s="1"/>
  <c r="F67" i="4" a="1"/>
  <c r="F67" i="4" s="1"/>
  <c r="F68" i="4" a="1"/>
  <c r="F68" i="4" s="1"/>
  <c r="F70" i="4" a="1"/>
  <c r="F70" i="4" s="1"/>
  <c r="F72" i="4" a="1"/>
  <c r="F72" i="4" s="1"/>
  <c r="F74" i="4" a="1"/>
  <c r="F74" i="4" s="1"/>
  <c r="F75" i="4" a="1"/>
  <c r="F75" i="4" s="1"/>
  <c r="F76" i="4" a="1"/>
  <c r="F76" i="4" s="1"/>
  <c r="F69" i="4" a="1"/>
  <c r="F69" i="4" s="1"/>
  <c r="F77" i="4" a="1"/>
  <c r="F77" i="4" s="1"/>
  <c r="F73" i="4" a="1"/>
  <c r="F73" i="4" s="1"/>
  <c r="F26" i="4" a="1"/>
  <c r="F26" i="4" s="1"/>
  <c r="F71" i="4" a="1"/>
  <c r="F71" i="4" s="1"/>
  <c r="F78" i="4" a="1"/>
  <c r="F78" i="4" s="1"/>
  <c r="F79" i="4" a="1"/>
  <c r="F79" i="4" s="1"/>
  <c r="F80" i="4" a="1"/>
  <c r="F80" i="4" s="1"/>
  <c r="F81" i="4" a="1"/>
  <c r="F81" i="4" s="1"/>
  <c r="E34" i="4" a="1"/>
  <c r="E34" i="4" s="1"/>
  <c r="E35" i="4" a="1"/>
  <c r="E35" i="4" s="1"/>
  <c r="E36" i="4" a="1"/>
  <c r="E36" i="4" s="1"/>
  <c r="E37" i="4" a="1"/>
  <c r="E37" i="4" s="1"/>
  <c r="E38" i="4" a="1"/>
  <c r="E38" i="4" s="1"/>
  <c r="E39" i="4" a="1"/>
  <c r="E39" i="4" s="1"/>
  <c r="E40" i="4" a="1"/>
  <c r="E40" i="4" s="1"/>
  <c r="E41" i="4" a="1"/>
  <c r="E41" i="4" s="1"/>
  <c r="E42" i="4" a="1"/>
  <c r="E42" i="4" s="1"/>
  <c r="E43" i="4" a="1"/>
  <c r="E43" i="4" s="1"/>
  <c r="E44" i="4" a="1"/>
  <c r="E44" i="4" s="1"/>
  <c r="E45" i="4" a="1"/>
  <c r="E45" i="4" s="1"/>
  <c r="E46" i="4" a="1"/>
  <c r="E46" i="4" s="1"/>
  <c r="E47" i="4" a="1"/>
  <c r="E47" i="4" s="1"/>
  <c r="E48" i="4" a="1"/>
  <c r="E48" i="4" s="1"/>
  <c r="E49" i="4" a="1"/>
  <c r="E49" i="4" s="1"/>
  <c r="E50" i="4" a="1"/>
  <c r="E50" i="4" s="1"/>
  <c r="E51" i="4" a="1"/>
  <c r="E51" i="4" s="1"/>
  <c r="E52" i="4" a="1"/>
  <c r="E52" i="4" s="1"/>
  <c r="E53" i="4" a="1"/>
  <c r="E53" i="4" s="1"/>
  <c r="E55" i="4" a="1"/>
  <c r="E55" i="4" s="1"/>
  <c r="E56" i="4" a="1"/>
  <c r="E56" i="4" s="1"/>
  <c r="E57" i="4" a="1"/>
  <c r="E57" i="4" s="1"/>
  <c r="E58" i="4" a="1"/>
  <c r="E58" i="4" s="1"/>
  <c r="E59" i="4" a="1"/>
  <c r="E59" i="4" s="1"/>
  <c r="E60" i="4" a="1"/>
  <c r="E60" i="4" s="1"/>
  <c r="E61" i="4" a="1"/>
  <c r="E61" i="4" s="1"/>
  <c r="E54" i="4" a="1"/>
  <c r="E54" i="4" s="1"/>
  <c r="E62" i="4" a="1"/>
  <c r="E62" i="4" s="1"/>
  <c r="E63" i="4" a="1"/>
  <c r="E63" i="4" s="1"/>
  <c r="E64" i="4" a="1"/>
  <c r="E64" i="4" s="1"/>
  <c r="E65" i="4" a="1"/>
  <c r="E65" i="4" s="1"/>
  <c r="E66" i="4" a="1"/>
  <c r="E66" i="4" s="1"/>
  <c r="E67" i="4" a="1"/>
  <c r="E67" i="4" s="1"/>
  <c r="E68" i="4" a="1"/>
  <c r="E68" i="4" s="1"/>
  <c r="E70" i="4" a="1"/>
  <c r="E70" i="4" s="1"/>
  <c r="E72" i="4" a="1"/>
  <c r="E72" i="4" s="1"/>
  <c r="E74" i="4" a="1"/>
  <c r="E74" i="4" s="1"/>
  <c r="E75" i="4" a="1"/>
  <c r="E75" i="4" s="1"/>
  <c r="E76" i="4" a="1"/>
  <c r="E76" i="4" s="1"/>
  <c r="E69" i="4" a="1"/>
  <c r="E69" i="4" s="1"/>
  <c r="E77" i="4" a="1"/>
  <c r="E77" i="4" s="1"/>
  <c r="E73" i="4" a="1"/>
  <c r="E73" i="4" s="1"/>
  <c r="E26" i="4" a="1"/>
  <c r="E26" i="4" s="1"/>
  <c r="E71" i="4" a="1"/>
  <c r="E71" i="4" s="1"/>
  <c r="E78" i="4" a="1"/>
  <c r="E78" i="4" s="1"/>
  <c r="E79" i="4" a="1"/>
  <c r="E79" i="4" s="1"/>
  <c r="E80" i="4" a="1"/>
  <c r="E80" i="4" s="1"/>
  <c r="E81" i="4" a="1"/>
  <c r="E81" i="4" s="1"/>
  <c r="D34" i="4" a="1"/>
  <c r="D34" i="4" s="1"/>
  <c r="D35" i="4" a="1"/>
  <c r="D35" i="4" s="1"/>
  <c r="D36" i="4" a="1"/>
  <c r="D36" i="4" s="1"/>
  <c r="D37" i="4" a="1"/>
  <c r="D37" i="4" s="1"/>
  <c r="D38" i="4" a="1"/>
  <c r="D38" i="4" s="1"/>
  <c r="D39" i="4" a="1"/>
  <c r="D39" i="4" s="1"/>
  <c r="D40" i="4" a="1"/>
  <c r="D40" i="4" s="1"/>
  <c r="D41" i="4" a="1"/>
  <c r="D41" i="4" s="1"/>
  <c r="D42" i="4" a="1"/>
  <c r="D42" i="4" s="1"/>
  <c r="D43" i="4" a="1"/>
  <c r="D43" i="4" s="1"/>
  <c r="D44" i="4" a="1"/>
  <c r="D44" i="4" s="1"/>
  <c r="D45" i="4" a="1"/>
  <c r="D45" i="4" s="1"/>
  <c r="D46" i="4" a="1"/>
  <c r="D46" i="4" s="1"/>
  <c r="D47" i="4" a="1"/>
  <c r="D47" i="4" s="1"/>
  <c r="D48" i="4" a="1"/>
  <c r="D48" i="4" s="1"/>
  <c r="D49" i="4" a="1"/>
  <c r="D49" i="4" s="1"/>
  <c r="D50" i="4" a="1"/>
  <c r="D50" i="4" s="1"/>
  <c r="D51" i="4" a="1"/>
  <c r="D51" i="4" s="1"/>
  <c r="D52" i="4" a="1"/>
  <c r="D52" i="4" s="1"/>
  <c r="D53" i="4" a="1"/>
  <c r="D53" i="4" s="1"/>
  <c r="D55" i="4" a="1"/>
  <c r="D55" i="4" s="1"/>
  <c r="D56" i="4" a="1"/>
  <c r="D56" i="4" s="1"/>
  <c r="D57" i="4" a="1"/>
  <c r="D57" i="4" s="1"/>
  <c r="D58" i="4" a="1"/>
  <c r="D58" i="4" s="1"/>
  <c r="D59" i="4" a="1"/>
  <c r="D59" i="4" s="1"/>
  <c r="D60" i="4" a="1"/>
  <c r="D60" i="4" s="1"/>
  <c r="D61" i="4" a="1"/>
  <c r="D61" i="4" s="1"/>
  <c r="D54" i="4" a="1"/>
  <c r="D54" i="4" s="1"/>
  <c r="D62" i="4" a="1"/>
  <c r="D62" i="4" s="1"/>
  <c r="D63" i="4" a="1"/>
  <c r="D63" i="4" s="1"/>
  <c r="D64" i="4" a="1"/>
  <c r="D64" i="4" s="1"/>
  <c r="D65" i="4" a="1"/>
  <c r="D65" i="4" s="1"/>
  <c r="D66" i="4" a="1"/>
  <c r="D66" i="4" s="1"/>
  <c r="D67" i="4" a="1"/>
  <c r="D67" i="4" s="1"/>
  <c r="D68" i="4" a="1"/>
  <c r="D68" i="4" s="1"/>
  <c r="D70" i="4" a="1"/>
  <c r="D70" i="4" s="1"/>
  <c r="D72" i="4" a="1"/>
  <c r="D72" i="4" s="1"/>
  <c r="D74" i="4" a="1"/>
  <c r="D74" i="4" s="1"/>
  <c r="D75" i="4" a="1"/>
  <c r="D75" i="4" s="1"/>
  <c r="D76" i="4" a="1"/>
  <c r="D76" i="4" s="1"/>
  <c r="D69" i="4" a="1"/>
  <c r="D69" i="4" s="1"/>
  <c r="D77" i="4" a="1"/>
  <c r="D77" i="4" s="1"/>
  <c r="D73" i="4" a="1"/>
  <c r="D73" i="4" s="1"/>
  <c r="D26" i="4" a="1"/>
  <c r="D26" i="4" s="1"/>
  <c r="D71" i="4" a="1"/>
  <c r="D71" i="4" s="1"/>
  <c r="D78" i="4" a="1"/>
  <c r="D78" i="4" s="1"/>
  <c r="D79" i="4" a="1"/>
  <c r="D79" i="4" s="1"/>
  <c r="D80" i="4" a="1"/>
  <c r="D80" i="4" s="1"/>
  <c r="D81" i="4" a="1"/>
  <c r="D81" i="4" s="1"/>
  <c r="C34" i="4" a="1"/>
  <c r="C34" i="4" s="1"/>
  <c r="C35" i="4" a="1"/>
  <c r="C35" i="4" s="1"/>
  <c r="C36" i="4" a="1"/>
  <c r="C36" i="4" s="1"/>
  <c r="C37" i="4" a="1"/>
  <c r="C37" i="4" s="1"/>
  <c r="C38" i="4" a="1"/>
  <c r="C38" i="4" s="1"/>
  <c r="C39" i="4" a="1"/>
  <c r="C39" i="4" s="1"/>
  <c r="C40" i="4" a="1"/>
  <c r="C40" i="4" s="1"/>
  <c r="C41" i="4" a="1"/>
  <c r="C41" i="4" s="1"/>
  <c r="C42" i="4" a="1"/>
  <c r="C42" i="4" s="1"/>
  <c r="C43" i="4" a="1"/>
  <c r="C43" i="4" s="1"/>
  <c r="C44" i="4" a="1"/>
  <c r="C44" i="4" s="1"/>
  <c r="C45" i="4" a="1"/>
  <c r="C45" i="4" s="1"/>
  <c r="C46" i="4" a="1"/>
  <c r="C46" i="4" s="1"/>
  <c r="C47" i="4" a="1"/>
  <c r="C47" i="4" s="1"/>
  <c r="C48" i="4" a="1"/>
  <c r="C48" i="4" s="1"/>
  <c r="C49" i="4" a="1"/>
  <c r="C49" i="4" s="1"/>
  <c r="C50" i="4" a="1"/>
  <c r="C50" i="4" s="1"/>
  <c r="C51" i="4" a="1"/>
  <c r="C51" i="4" s="1"/>
  <c r="C52" i="4" a="1"/>
  <c r="C52" i="4" s="1"/>
  <c r="C53" i="4" a="1"/>
  <c r="C53" i="4" s="1"/>
  <c r="C55" i="4" a="1"/>
  <c r="C55" i="4" s="1"/>
  <c r="C56" i="4" a="1"/>
  <c r="C56" i="4" s="1"/>
  <c r="C57" i="4" a="1"/>
  <c r="C57" i="4" s="1"/>
  <c r="C58" i="4" a="1"/>
  <c r="C58" i="4" s="1"/>
  <c r="C59" i="4" a="1"/>
  <c r="C59" i="4" s="1"/>
  <c r="C60" i="4" a="1"/>
  <c r="C60" i="4" s="1"/>
  <c r="C61" i="4" a="1"/>
  <c r="C61" i="4" s="1"/>
  <c r="C54" i="4" a="1"/>
  <c r="C54" i="4" s="1"/>
  <c r="C62" i="4" a="1"/>
  <c r="C62" i="4" s="1"/>
  <c r="C63" i="4" a="1"/>
  <c r="C63" i="4" s="1"/>
  <c r="C64" i="4" a="1"/>
  <c r="C64" i="4" s="1"/>
  <c r="C65" i="4" a="1"/>
  <c r="C65" i="4" s="1"/>
  <c r="C66" i="4" a="1"/>
  <c r="C66" i="4" s="1"/>
  <c r="C67" i="4" a="1"/>
  <c r="C67" i="4" s="1"/>
  <c r="C68" i="4" a="1"/>
  <c r="C68" i="4" s="1"/>
  <c r="C70" i="4" a="1"/>
  <c r="C70" i="4" s="1"/>
  <c r="C72" i="4" a="1"/>
  <c r="C72" i="4" s="1"/>
  <c r="C74" i="4" a="1"/>
  <c r="C74" i="4" s="1"/>
  <c r="C75" i="4" a="1"/>
  <c r="C75" i="4" s="1"/>
  <c r="C76" i="4" a="1"/>
  <c r="C76" i="4" s="1"/>
  <c r="C69" i="4" a="1"/>
  <c r="C69" i="4" s="1"/>
  <c r="C77" i="4" a="1"/>
  <c r="C77" i="4" s="1"/>
  <c r="C73" i="4" a="1"/>
  <c r="C73" i="4" s="1"/>
  <c r="C26" i="4" a="1"/>
  <c r="C26" i="4" s="1"/>
  <c r="C71" i="4" a="1"/>
  <c r="C71" i="4" s="1"/>
  <c r="C78" i="4" a="1"/>
  <c r="C78" i="4" s="1"/>
  <c r="C79" i="4" a="1"/>
  <c r="C79" i="4" s="1"/>
  <c r="C80" i="4" a="1"/>
  <c r="C80" i="4" s="1"/>
  <c r="C81" i="4" a="1"/>
  <c r="C81" i="4" s="1"/>
  <c r="B34" i="4" a="1"/>
  <c r="B34" i="4" s="1"/>
  <c r="B35" i="4" a="1"/>
  <c r="B35" i="4" s="1"/>
  <c r="B36" i="4" a="1"/>
  <c r="B36" i="4" s="1"/>
  <c r="B37" i="4" a="1"/>
  <c r="B37" i="4" s="1"/>
  <c r="B38" i="4" a="1"/>
  <c r="B38" i="4" s="1"/>
  <c r="B39" i="4" a="1"/>
  <c r="B39" i="4" s="1"/>
  <c r="B40" i="4" a="1"/>
  <c r="B40" i="4" s="1"/>
  <c r="B41" i="4" a="1"/>
  <c r="B41" i="4" s="1"/>
  <c r="B42" i="4" a="1"/>
  <c r="B42" i="4" s="1"/>
  <c r="B43" i="4" a="1"/>
  <c r="B43" i="4" s="1"/>
  <c r="B44" i="4" a="1"/>
  <c r="B44" i="4" s="1"/>
  <c r="B45" i="4" a="1"/>
  <c r="B45" i="4" s="1"/>
  <c r="B46" i="4" a="1"/>
  <c r="B46" i="4" s="1"/>
  <c r="B47" i="4" a="1"/>
  <c r="B47" i="4" s="1"/>
  <c r="B48" i="4" a="1"/>
  <c r="B48" i="4" s="1"/>
  <c r="B49" i="4" a="1"/>
  <c r="B49" i="4" s="1"/>
  <c r="B50" i="4" a="1"/>
  <c r="B50" i="4" s="1"/>
  <c r="B51" i="4" a="1"/>
  <c r="B51" i="4" s="1"/>
  <c r="B52" i="4" a="1"/>
  <c r="B52" i="4" s="1"/>
  <c r="B53" i="4" a="1"/>
  <c r="B53" i="4" s="1"/>
  <c r="B55" i="4" a="1"/>
  <c r="B55" i="4" s="1"/>
  <c r="B56" i="4" a="1"/>
  <c r="B56" i="4" s="1"/>
  <c r="B57" i="4" a="1"/>
  <c r="B57" i="4" s="1"/>
  <c r="B58" i="4" a="1"/>
  <c r="B58" i="4" s="1"/>
  <c r="B59" i="4" a="1"/>
  <c r="B59" i="4" s="1"/>
  <c r="B60" i="4" a="1"/>
  <c r="B60" i="4" s="1"/>
  <c r="B61" i="4" a="1"/>
  <c r="B61" i="4" s="1"/>
  <c r="B54" i="4" a="1"/>
  <c r="B54" i="4" s="1"/>
  <c r="B62" i="4" a="1"/>
  <c r="B62" i="4" s="1"/>
  <c r="B63" i="4" a="1"/>
  <c r="B63" i="4" s="1"/>
  <c r="B64" i="4" a="1"/>
  <c r="B64" i="4" s="1"/>
  <c r="B65" i="4" a="1"/>
  <c r="B65" i="4" s="1"/>
  <c r="B66" i="4" a="1"/>
  <c r="B66" i="4" s="1"/>
  <c r="B67" i="4" a="1"/>
  <c r="B67" i="4" s="1"/>
  <c r="B68" i="4" a="1"/>
  <c r="B68" i="4" s="1"/>
  <c r="B70" i="4" a="1"/>
  <c r="B70" i="4" s="1"/>
  <c r="B72" i="4" a="1"/>
  <c r="B72" i="4" s="1"/>
  <c r="B74" i="4" a="1"/>
  <c r="B74" i="4" s="1"/>
  <c r="B75" i="4" a="1"/>
  <c r="B75" i="4" s="1"/>
  <c r="B76" i="4" a="1"/>
  <c r="B76" i="4" s="1"/>
  <c r="B69" i="4" a="1"/>
  <c r="B69" i="4" s="1"/>
  <c r="B77" i="4" a="1"/>
  <c r="B77" i="4" s="1"/>
  <c r="B73" i="4" a="1"/>
  <c r="B73" i="4" s="1"/>
  <c r="B26" i="4" a="1"/>
  <c r="B26" i="4" s="1"/>
  <c r="B71" i="4" a="1"/>
  <c r="B71" i="4" s="1"/>
  <c r="B78" i="4" a="1"/>
  <c r="B78" i="4" s="1"/>
  <c r="B79" i="4" a="1"/>
  <c r="B79" i="4" s="1"/>
  <c r="B80" i="4" a="1"/>
  <c r="B80" i="4" s="1"/>
  <c r="B81" i="4" a="1"/>
  <c r="B81" i="4" s="1"/>
  <c r="R2" i="3"/>
  <c r="R3" i="3"/>
  <c r="R4" i="3"/>
  <c r="R5" i="3"/>
  <c r="R6" i="3"/>
  <c r="R7" i="3"/>
  <c r="R8" i="3"/>
  <c r="R9" i="3"/>
  <c r="R10" i="3"/>
  <c r="R11" i="3"/>
  <c r="R12" i="3"/>
  <c r="R13" i="3"/>
  <c r="R14" i="3"/>
  <c r="R15" i="3"/>
  <c r="R16" i="3"/>
  <c r="R17" i="3"/>
  <c r="R18" i="3"/>
  <c r="R19" i="3"/>
  <c r="R20" i="3"/>
  <c r="R21" i="3"/>
  <c r="T81" i="3" l="1"/>
  <c r="Y53" i="5"/>
  <c r="Z53" i="5"/>
  <c r="Y78" i="5"/>
  <c r="Z78" i="5"/>
  <c r="AE78" i="3" s="1"/>
  <c r="Y70" i="5"/>
  <c r="AD70" i="3" s="1"/>
  <c r="Z70" i="5"/>
  <c r="AE70" i="3" s="1"/>
  <c r="Y62" i="5"/>
  <c r="AD62" i="3" s="1"/>
  <c r="Z62" i="5"/>
  <c r="AE62" i="3" s="1"/>
  <c r="Y54" i="5"/>
  <c r="AD54" i="3" s="1"/>
  <c r="Z54" i="5"/>
  <c r="AE54" i="3" s="1"/>
  <c r="Y46" i="5"/>
  <c r="Z46" i="5"/>
  <c r="AE46" i="3" s="1"/>
  <c r="Y38" i="5"/>
  <c r="AD38" i="3" s="1"/>
  <c r="Z38" i="5"/>
  <c r="AE38" i="3" s="1"/>
  <c r="Y30" i="5"/>
  <c r="AD30" i="3" s="1"/>
  <c r="Z30" i="5"/>
  <c r="AE30" i="3" s="1"/>
  <c r="Y22" i="5"/>
  <c r="AD22" i="3" s="1"/>
  <c r="Z22" i="5"/>
  <c r="AE22" i="3" s="1"/>
  <c r="Y14" i="5"/>
  <c r="AD14" i="3" s="1"/>
  <c r="Z14" i="5"/>
  <c r="AE14" i="3" s="1"/>
  <c r="Y6" i="5"/>
  <c r="AD6" i="3" s="1"/>
  <c r="Z6" i="5"/>
  <c r="AE6" i="3" s="1"/>
  <c r="Y45" i="5"/>
  <c r="AD45" i="3" s="1"/>
  <c r="Z45" i="5"/>
  <c r="AE45" i="3" s="1"/>
  <c r="Y5" i="5"/>
  <c r="Z5" i="5"/>
  <c r="Y76" i="5"/>
  <c r="Z76" i="5"/>
  <c r="AE76" i="3" s="1"/>
  <c r="Y68" i="5"/>
  <c r="AD68" i="3" s="1"/>
  <c r="Z68" i="5"/>
  <c r="AE68" i="3" s="1"/>
  <c r="Y60" i="5"/>
  <c r="AD60" i="3" s="1"/>
  <c r="Z60" i="5"/>
  <c r="AE60" i="3" s="1"/>
  <c r="Y52" i="5"/>
  <c r="AD52" i="3" s="1"/>
  <c r="Z52" i="5"/>
  <c r="AE52" i="3" s="1"/>
  <c r="Y44" i="5"/>
  <c r="AD44" i="3" s="1"/>
  <c r="Z44" i="5"/>
  <c r="AE44" i="3" s="1"/>
  <c r="Y36" i="5"/>
  <c r="AD36" i="3" s="1"/>
  <c r="Z36" i="5"/>
  <c r="AE36" i="3" s="1"/>
  <c r="Y28" i="5"/>
  <c r="AD28" i="3" s="1"/>
  <c r="Z28" i="5"/>
  <c r="AE28" i="3" s="1"/>
  <c r="Y20" i="5"/>
  <c r="AD20" i="3" s="1"/>
  <c r="Z20" i="5"/>
  <c r="AE20" i="3" s="1"/>
  <c r="Y12" i="5"/>
  <c r="AD12" i="3" s="1"/>
  <c r="Z12" i="5"/>
  <c r="AE12" i="3" s="1"/>
  <c r="Y4" i="5"/>
  <c r="AD4" i="3" s="1"/>
  <c r="Z4" i="5"/>
  <c r="AE4" i="3" s="1"/>
  <c r="Y37" i="5"/>
  <c r="AD37" i="3" s="1"/>
  <c r="Z37" i="5"/>
  <c r="AE37" i="3" s="1"/>
  <c r="Y75" i="5"/>
  <c r="Z75" i="5"/>
  <c r="Y67" i="5"/>
  <c r="AD67" i="3" s="1"/>
  <c r="Z67" i="5"/>
  <c r="AE67" i="3" s="1"/>
  <c r="Y59" i="5"/>
  <c r="AD59" i="3" s="1"/>
  <c r="Z59" i="5"/>
  <c r="AE59" i="3" s="1"/>
  <c r="Y51" i="5"/>
  <c r="AD51" i="3" s="1"/>
  <c r="Z51" i="5"/>
  <c r="AE51" i="3" s="1"/>
  <c r="Y43" i="5"/>
  <c r="AD43" i="3" s="1"/>
  <c r="Z43" i="5"/>
  <c r="AE43" i="3" s="1"/>
  <c r="Y35" i="5"/>
  <c r="AD35" i="3" s="1"/>
  <c r="Z35" i="5"/>
  <c r="AE35" i="3" s="1"/>
  <c r="Y27" i="5"/>
  <c r="AD27" i="3" s="1"/>
  <c r="Z27" i="5"/>
  <c r="AE27" i="3" s="1"/>
  <c r="Y19" i="5"/>
  <c r="AD19" i="3" s="1"/>
  <c r="Z19" i="5"/>
  <c r="AE19" i="3" s="1"/>
  <c r="Y11" i="5"/>
  <c r="AD11" i="3" s="1"/>
  <c r="Z11" i="5"/>
  <c r="AE11" i="3" s="1"/>
  <c r="Y3" i="5"/>
  <c r="AD3" i="3" s="1"/>
  <c r="Z3" i="5"/>
  <c r="AE3" i="3" s="1"/>
  <c r="Y29" i="5"/>
  <c r="AD29" i="3" s="1"/>
  <c r="Z29" i="5"/>
  <c r="AE29" i="3" s="1"/>
  <c r="Y81" i="5"/>
  <c r="AD81" i="3" s="1"/>
  <c r="Z81" i="5"/>
  <c r="AE81" i="3" s="1"/>
  <c r="Y74" i="5"/>
  <c r="Z74" i="5"/>
  <c r="AE74" i="3" s="1"/>
  <c r="Y66" i="5"/>
  <c r="AD66" i="3" s="1"/>
  <c r="Z66" i="5"/>
  <c r="AE66" i="3" s="1"/>
  <c r="Y58" i="5"/>
  <c r="AD58" i="3" s="1"/>
  <c r="Z58" i="5"/>
  <c r="AE58" i="3" s="1"/>
  <c r="Y50" i="5"/>
  <c r="AD50" i="3" s="1"/>
  <c r="Z50" i="5"/>
  <c r="AE50" i="3" s="1"/>
  <c r="Y42" i="5"/>
  <c r="AD42" i="3" s="1"/>
  <c r="Z42" i="5"/>
  <c r="AE42" i="3" s="1"/>
  <c r="Y34" i="5"/>
  <c r="AD34" i="3" s="1"/>
  <c r="Z34" i="5"/>
  <c r="AE34" i="3" s="1"/>
  <c r="Y26" i="5"/>
  <c r="AD26" i="3" s="1"/>
  <c r="Z26" i="5"/>
  <c r="AE26" i="3" s="1"/>
  <c r="Y18" i="5"/>
  <c r="AD18" i="3" s="1"/>
  <c r="Z18" i="5"/>
  <c r="AE18" i="3" s="1"/>
  <c r="Y10" i="5"/>
  <c r="AD10" i="3" s="1"/>
  <c r="Z10" i="5"/>
  <c r="AE10" i="3" s="1"/>
  <c r="Y2" i="5"/>
  <c r="AD2" i="3" s="1"/>
  <c r="Z2" i="5"/>
  <c r="AE2" i="3" s="1"/>
  <c r="Y77" i="5"/>
  <c r="AD77" i="3" s="1"/>
  <c r="Z77" i="5"/>
  <c r="AE77" i="3" s="1"/>
  <c r="Y13" i="5"/>
  <c r="AD13" i="3" s="1"/>
  <c r="Z13" i="5"/>
  <c r="AE13" i="3" s="1"/>
  <c r="Y73" i="5"/>
  <c r="Z73" i="5"/>
  <c r="Y65" i="5"/>
  <c r="Z65" i="5"/>
  <c r="AE65" i="3" s="1"/>
  <c r="Y57" i="5"/>
  <c r="AD57" i="3" s="1"/>
  <c r="Z57" i="5"/>
  <c r="AE57" i="3" s="1"/>
  <c r="Y49" i="5"/>
  <c r="AD49" i="3" s="1"/>
  <c r="Z49" i="5"/>
  <c r="AE49" i="3" s="1"/>
  <c r="Y41" i="5"/>
  <c r="AD41" i="3" s="1"/>
  <c r="Z41" i="5"/>
  <c r="AE41" i="3" s="1"/>
  <c r="Y33" i="5"/>
  <c r="AD33" i="3" s="1"/>
  <c r="Z33" i="5"/>
  <c r="AE33" i="3" s="1"/>
  <c r="Y25" i="5"/>
  <c r="AD25" i="3" s="1"/>
  <c r="Z25" i="5"/>
  <c r="AE25" i="3" s="1"/>
  <c r="Y17" i="5"/>
  <c r="AD17" i="3" s="1"/>
  <c r="Z17" i="5"/>
  <c r="AE17" i="3" s="1"/>
  <c r="Y9" i="5"/>
  <c r="AD9" i="3" s="1"/>
  <c r="Z9" i="5"/>
  <c r="AE9" i="3" s="1"/>
  <c r="Y61" i="5"/>
  <c r="AD61" i="3" s="1"/>
  <c r="Z61" i="5"/>
  <c r="AE61" i="3" s="1"/>
  <c r="Y80" i="5"/>
  <c r="AD80" i="3" s="1"/>
  <c r="Z80" i="5"/>
  <c r="AE80" i="3" s="1"/>
  <c r="Y72" i="5"/>
  <c r="AD72" i="3" s="1"/>
  <c r="Z72" i="5"/>
  <c r="AE72" i="3" s="1"/>
  <c r="Y64" i="5"/>
  <c r="Z64" i="5"/>
  <c r="AE64" i="3" s="1"/>
  <c r="Y56" i="5"/>
  <c r="AD56" i="3" s="1"/>
  <c r="Z56" i="5"/>
  <c r="AE56" i="3" s="1"/>
  <c r="Y48" i="5"/>
  <c r="AD48" i="3" s="1"/>
  <c r="Z48" i="5"/>
  <c r="AE48" i="3" s="1"/>
  <c r="Y40" i="5"/>
  <c r="AD40" i="3" s="1"/>
  <c r="Z40" i="5"/>
  <c r="AE40" i="3" s="1"/>
  <c r="Y32" i="5"/>
  <c r="AD32" i="3" s="1"/>
  <c r="Z32" i="5"/>
  <c r="AE32" i="3" s="1"/>
  <c r="Y24" i="5"/>
  <c r="AD24" i="3" s="1"/>
  <c r="Z24" i="5"/>
  <c r="AE24" i="3" s="1"/>
  <c r="Y16" i="5"/>
  <c r="AD16" i="3" s="1"/>
  <c r="Z16" i="5"/>
  <c r="AE16" i="3" s="1"/>
  <c r="Y8" i="5"/>
  <c r="AD8" i="3" s="1"/>
  <c r="Z8" i="5"/>
  <c r="AE8" i="3" s="1"/>
  <c r="Y69" i="5"/>
  <c r="AD69" i="3" s="1"/>
  <c r="Z69" i="5"/>
  <c r="AE69" i="3" s="1"/>
  <c r="Y21" i="5"/>
  <c r="AD21" i="3" s="1"/>
  <c r="Z21" i="5"/>
  <c r="AE21" i="3" s="1"/>
  <c r="Y79" i="5"/>
  <c r="AD79" i="3" s="1"/>
  <c r="Z79" i="5"/>
  <c r="AE79" i="3" s="1"/>
  <c r="Y71" i="5"/>
  <c r="AD71" i="3" s="1"/>
  <c r="Z71" i="5"/>
  <c r="AE71" i="3" s="1"/>
  <c r="Y63" i="5"/>
  <c r="Z63" i="5"/>
  <c r="Y55" i="5"/>
  <c r="AD55" i="3" s="1"/>
  <c r="Z55" i="5"/>
  <c r="AE55" i="3" s="1"/>
  <c r="Y47" i="5"/>
  <c r="AD47" i="3" s="1"/>
  <c r="Z47" i="5"/>
  <c r="AE47" i="3" s="1"/>
  <c r="Y39" i="5"/>
  <c r="AD39" i="3" s="1"/>
  <c r="Z39" i="5"/>
  <c r="AE39" i="3" s="1"/>
  <c r="Y31" i="5"/>
  <c r="Z31" i="5"/>
  <c r="AE31" i="3" s="1"/>
  <c r="Y23" i="5"/>
  <c r="AD23" i="3" s="1"/>
  <c r="Z23" i="5"/>
  <c r="AE23" i="3" s="1"/>
  <c r="Y15" i="5"/>
  <c r="AD15" i="3" s="1"/>
  <c r="Z15" i="5"/>
  <c r="AE15" i="3" s="1"/>
  <c r="Y7" i="5"/>
  <c r="AD7" i="3" s="1"/>
  <c r="Z7" i="5"/>
  <c r="AE7" i="3" s="1"/>
  <c r="W61" i="5"/>
  <c r="AB61" i="3" s="1"/>
  <c r="X61" i="5"/>
  <c r="AC61" i="3" s="1"/>
  <c r="W78" i="5"/>
  <c r="AB78" i="3" s="1"/>
  <c r="X78" i="5"/>
  <c r="AC78" i="3" s="1"/>
  <c r="W70" i="5"/>
  <c r="AB70" i="3" s="1"/>
  <c r="X70" i="5"/>
  <c r="AC70" i="3" s="1"/>
  <c r="W62" i="5"/>
  <c r="AB62" i="3" s="1"/>
  <c r="X62" i="5"/>
  <c r="AC62" i="3" s="1"/>
  <c r="W54" i="5"/>
  <c r="X54" i="5"/>
  <c r="W46" i="5"/>
  <c r="X46" i="5"/>
  <c r="AC46" i="3" s="1"/>
  <c r="W38" i="5"/>
  <c r="AB38" i="3" s="1"/>
  <c r="X38" i="5"/>
  <c r="AC38" i="3" s="1"/>
  <c r="W30" i="5"/>
  <c r="AB30" i="3" s="1"/>
  <c r="X30" i="5"/>
  <c r="AC30" i="3" s="1"/>
  <c r="W22" i="5"/>
  <c r="AB22" i="3" s="1"/>
  <c r="X22" i="5"/>
  <c r="AC22" i="3" s="1"/>
  <c r="W14" i="5"/>
  <c r="AB14" i="3" s="1"/>
  <c r="X14" i="5"/>
  <c r="AC14" i="3" s="1"/>
  <c r="W6" i="5"/>
  <c r="AB6" i="3" s="1"/>
  <c r="X6" i="5"/>
  <c r="AC6" i="3" s="1"/>
  <c r="W37" i="5"/>
  <c r="AB37" i="3" s="1"/>
  <c r="X37" i="5"/>
  <c r="AC37" i="3" s="1"/>
  <c r="W76" i="5"/>
  <c r="AB76" i="3" s="1"/>
  <c r="X76" i="5"/>
  <c r="AC76" i="3" s="1"/>
  <c r="W68" i="5"/>
  <c r="AB68" i="3" s="1"/>
  <c r="X68" i="5"/>
  <c r="AC68" i="3" s="1"/>
  <c r="W60" i="5"/>
  <c r="AB60" i="3" s="1"/>
  <c r="X60" i="5"/>
  <c r="AC60" i="3" s="1"/>
  <c r="W52" i="5"/>
  <c r="AB52" i="3" s="1"/>
  <c r="X52" i="5"/>
  <c r="AC52" i="3" s="1"/>
  <c r="W44" i="5"/>
  <c r="X44" i="5"/>
  <c r="W36" i="5"/>
  <c r="X36" i="5"/>
  <c r="AC36" i="3" s="1"/>
  <c r="W28" i="5"/>
  <c r="AB28" i="3" s="1"/>
  <c r="X28" i="5"/>
  <c r="AC28" i="3" s="1"/>
  <c r="W20" i="5"/>
  <c r="AB20" i="3" s="1"/>
  <c r="X20" i="5"/>
  <c r="AC20" i="3" s="1"/>
  <c r="W12" i="5"/>
  <c r="AB12" i="3" s="1"/>
  <c r="X12" i="5"/>
  <c r="AC12" i="3" s="1"/>
  <c r="W4" i="5"/>
  <c r="AB4" i="3" s="1"/>
  <c r="X4" i="5"/>
  <c r="AC4" i="3" s="1"/>
  <c r="W77" i="5"/>
  <c r="AB77" i="3" s="1"/>
  <c r="X77" i="5"/>
  <c r="AC77" i="3" s="1"/>
  <c r="W5" i="5"/>
  <c r="AB5" i="3" s="1"/>
  <c r="X5" i="5"/>
  <c r="AC5" i="3" s="1"/>
  <c r="W75" i="5"/>
  <c r="AB75" i="3" s="1"/>
  <c r="X75" i="5"/>
  <c r="AC75" i="3" s="1"/>
  <c r="W67" i="5"/>
  <c r="AB67" i="3" s="1"/>
  <c r="X67" i="5"/>
  <c r="AC67" i="3" s="1"/>
  <c r="W59" i="5"/>
  <c r="AB59" i="3" s="1"/>
  <c r="X59" i="5"/>
  <c r="AC59" i="3" s="1"/>
  <c r="W51" i="5"/>
  <c r="AB51" i="3" s="1"/>
  <c r="X51" i="5"/>
  <c r="AC51" i="3" s="1"/>
  <c r="W43" i="5"/>
  <c r="X43" i="5"/>
  <c r="AC43" i="3" s="1"/>
  <c r="W35" i="5"/>
  <c r="X35" i="5"/>
  <c r="AC35" i="3" s="1"/>
  <c r="W27" i="5"/>
  <c r="AB27" i="3" s="1"/>
  <c r="X27" i="5"/>
  <c r="AC27" i="3" s="1"/>
  <c r="W19" i="5"/>
  <c r="AB19" i="3" s="1"/>
  <c r="X19" i="5"/>
  <c r="AC19" i="3" s="1"/>
  <c r="W11" i="5"/>
  <c r="AB11" i="3" s="1"/>
  <c r="X11" i="5"/>
  <c r="AC11" i="3" s="1"/>
  <c r="W3" i="5"/>
  <c r="AB3" i="3" s="1"/>
  <c r="X3" i="5"/>
  <c r="AC3" i="3" s="1"/>
  <c r="W45" i="5"/>
  <c r="AB45" i="3" s="1"/>
  <c r="X45" i="5"/>
  <c r="AC45" i="3" s="1"/>
  <c r="W21" i="5"/>
  <c r="AB21" i="3" s="1"/>
  <c r="X21" i="5"/>
  <c r="AC21" i="3" s="1"/>
  <c r="W74" i="5"/>
  <c r="AB74" i="3" s="1"/>
  <c r="X74" i="5"/>
  <c r="AC74" i="3" s="1"/>
  <c r="W66" i="5"/>
  <c r="AB66" i="3" s="1"/>
  <c r="X66" i="5"/>
  <c r="AC66" i="3" s="1"/>
  <c r="W58" i="5"/>
  <c r="AB58" i="3" s="1"/>
  <c r="X58" i="5"/>
  <c r="AC58" i="3" s="1"/>
  <c r="W50" i="5"/>
  <c r="AB50" i="3" s="1"/>
  <c r="X50" i="5"/>
  <c r="AC50" i="3" s="1"/>
  <c r="W42" i="5"/>
  <c r="X42" i="5"/>
  <c r="AC42" i="3" s="1"/>
  <c r="W34" i="5"/>
  <c r="AB34" i="3" s="1"/>
  <c r="X34" i="5"/>
  <c r="AC34" i="3" s="1"/>
  <c r="W26" i="5"/>
  <c r="AB26" i="3" s="1"/>
  <c r="X26" i="5"/>
  <c r="AC26" i="3" s="1"/>
  <c r="W18" i="5"/>
  <c r="AB18" i="3" s="1"/>
  <c r="X18" i="5"/>
  <c r="AC18" i="3" s="1"/>
  <c r="W10" i="5"/>
  <c r="AB10" i="3" s="1"/>
  <c r="X10" i="5"/>
  <c r="AC10" i="3" s="1"/>
  <c r="W2" i="5"/>
  <c r="AB2" i="3" s="1"/>
  <c r="X2" i="5"/>
  <c r="AC2" i="3" s="1"/>
  <c r="W69" i="5"/>
  <c r="AB69" i="3" s="1"/>
  <c r="X69" i="5"/>
  <c r="AC69" i="3" s="1"/>
  <c r="W73" i="5"/>
  <c r="AB73" i="3" s="1"/>
  <c r="X73" i="5"/>
  <c r="AC73" i="3" s="1"/>
  <c r="W65" i="5"/>
  <c r="AB65" i="3" s="1"/>
  <c r="X65" i="5"/>
  <c r="AC65" i="3" s="1"/>
  <c r="W57" i="5"/>
  <c r="AB57" i="3" s="1"/>
  <c r="X57" i="5"/>
  <c r="AC57" i="3" s="1"/>
  <c r="W49" i="5"/>
  <c r="AB49" i="3" s="1"/>
  <c r="X49" i="5"/>
  <c r="AC49" i="3" s="1"/>
  <c r="W41" i="5"/>
  <c r="AB41" i="3" s="1"/>
  <c r="X41" i="5"/>
  <c r="AC41" i="3" s="1"/>
  <c r="W33" i="5"/>
  <c r="X33" i="5"/>
  <c r="AC33" i="3" s="1"/>
  <c r="W25" i="5"/>
  <c r="AB25" i="3" s="1"/>
  <c r="X25" i="5"/>
  <c r="AC25" i="3" s="1"/>
  <c r="W17" i="5"/>
  <c r="AB17" i="3" s="1"/>
  <c r="X17" i="5"/>
  <c r="AC17" i="3" s="1"/>
  <c r="W9" i="5"/>
  <c r="AB9" i="3" s="1"/>
  <c r="X9" i="5"/>
  <c r="AC9" i="3" s="1"/>
  <c r="W29" i="5"/>
  <c r="X29" i="5"/>
  <c r="AC29" i="3" s="1"/>
  <c r="W81" i="5"/>
  <c r="AB81" i="3" s="1"/>
  <c r="X81" i="5"/>
  <c r="AC81" i="3" s="1"/>
  <c r="W80" i="5"/>
  <c r="AB80" i="3" s="1"/>
  <c r="X80" i="5"/>
  <c r="AC80" i="3" s="1"/>
  <c r="W72" i="5"/>
  <c r="AB72" i="3" s="1"/>
  <c r="X72" i="5"/>
  <c r="AC72" i="3" s="1"/>
  <c r="W64" i="5"/>
  <c r="AB64" i="3" s="1"/>
  <c r="X64" i="5"/>
  <c r="AC64" i="3" s="1"/>
  <c r="W56" i="5"/>
  <c r="AB56" i="3" s="1"/>
  <c r="X56" i="5"/>
  <c r="AC56" i="3" s="1"/>
  <c r="W48" i="5"/>
  <c r="AB48" i="3" s="1"/>
  <c r="X48" i="5"/>
  <c r="AC48" i="3" s="1"/>
  <c r="W40" i="5"/>
  <c r="AB40" i="3" s="1"/>
  <c r="X40" i="5"/>
  <c r="AC40" i="3" s="1"/>
  <c r="W32" i="5"/>
  <c r="X32" i="5"/>
  <c r="W24" i="5"/>
  <c r="AB24" i="3" s="1"/>
  <c r="X24" i="5"/>
  <c r="AC24" i="3" s="1"/>
  <c r="W16" i="5"/>
  <c r="AB16" i="3" s="1"/>
  <c r="X16" i="5"/>
  <c r="AC16" i="3" s="1"/>
  <c r="W8" i="5"/>
  <c r="AB8" i="3" s="1"/>
  <c r="X8" i="5"/>
  <c r="AC8" i="3" s="1"/>
  <c r="W53" i="5"/>
  <c r="AB53" i="3" s="1"/>
  <c r="X53" i="5"/>
  <c r="AC53" i="3" s="1"/>
  <c r="W13" i="5"/>
  <c r="AB13" i="3" s="1"/>
  <c r="X13" i="5"/>
  <c r="AC13" i="3" s="1"/>
  <c r="W79" i="5"/>
  <c r="AB79" i="3" s="1"/>
  <c r="X79" i="5"/>
  <c r="AC79" i="3" s="1"/>
  <c r="W71" i="5"/>
  <c r="AB71" i="3" s="1"/>
  <c r="X71" i="5"/>
  <c r="AC71" i="3" s="1"/>
  <c r="W63" i="5"/>
  <c r="AB63" i="3" s="1"/>
  <c r="X63" i="5"/>
  <c r="W55" i="5"/>
  <c r="AB55" i="3" s="1"/>
  <c r="X55" i="5"/>
  <c r="AC55" i="3" s="1"/>
  <c r="W47" i="5"/>
  <c r="AB47" i="3" s="1"/>
  <c r="X47" i="5"/>
  <c r="AC47" i="3" s="1"/>
  <c r="W39" i="5"/>
  <c r="AB39" i="3" s="1"/>
  <c r="X39" i="5"/>
  <c r="AC39" i="3" s="1"/>
  <c r="W31" i="5"/>
  <c r="X31" i="5"/>
  <c r="AC31" i="3" s="1"/>
  <c r="W23" i="5"/>
  <c r="AB23" i="3" s="1"/>
  <c r="X23" i="5"/>
  <c r="AC23" i="3" s="1"/>
  <c r="W15" i="5"/>
  <c r="AB15" i="3" s="1"/>
  <c r="X15" i="5"/>
  <c r="AC15" i="3" s="1"/>
  <c r="W7" i="5"/>
  <c r="AB7" i="3" s="1"/>
  <c r="X7" i="5"/>
  <c r="AC7" i="3" s="1"/>
  <c r="AA52" i="4"/>
  <c r="AB52" i="4"/>
  <c r="V30" i="5"/>
  <c r="AA30" i="3" s="1"/>
  <c r="V6" i="5"/>
  <c r="AA6" i="3" s="1"/>
  <c r="AA77" i="4"/>
  <c r="AJ75" i="3" s="1"/>
  <c r="AB77" i="4"/>
  <c r="AA67" i="4"/>
  <c r="AJ67" i="3" s="1"/>
  <c r="AB67" i="4"/>
  <c r="AA60" i="4"/>
  <c r="AJ59" i="3" s="1"/>
  <c r="AB60" i="4"/>
  <c r="AA51" i="4"/>
  <c r="AJ51" i="3" s="1"/>
  <c r="AB51" i="4"/>
  <c r="AA43" i="4"/>
  <c r="AJ43" i="3" s="1"/>
  <c r="AB43" i="4"/>
  <c r="AA35" i="4"/>
  <c r="AJ37" i="3" s="1"/>
  <c r="AB35" i="4"/>
  <c r="V77" i="5"/>
  <c r="V69" i="5"/>
  <c r="AA69" i="3" s="1"/>
  <c r="V61" i="5"/>
  <c r="AA61" i="3" s="1"/>
  <c r="V53" i="5"/>
  <c r="AA53" i="3" s="1"/>
  <c r="V45" i="5"/>
  <c r="AA45" i="3" s="1"/>
  <c r="V37" i="5"/>
  <c r="AA37" i="3" s="1"/>
  <c r="V29" i="5"/>
  <c r="AA29" i="3" s="1"/>
  <c r="V21" i="5"/>
  <c r="AA21" i="3" s="1"/>
  <c r="V13" i="5"/>
  <c r="AA13" i="3" s="1"/>
  <c r="V5" i="5"/>
  <c r="AA5" i="3" s="1"/>
  <c r="V81" i="5"/>
  <c r="AA81" i="3" s="1"/>
  <c r="AA26" i="4"/>
  <c r="AJ26" i="3" s="1"/>
  <c r="AB26" i="4"/>
  <c r="V46" i="5"/>
  <c r="AA46" i="3" s="1"/>
  <c r="V14" i="5"/>
  <c r="AA14" i="3" s="1"/>
  <c r="AA69" i="4"/>
  <c r="AJ74" i="3" s="1"/>
  <c r="AB69" i="4"/>
  <c r="AA66" i="4"/>
  <c r="AJ66" i="3" s="1"/>
  <c r="AB66" i="4"/>
  <c r="AA59" i="4"/>
  <c r="AJ58" i="3" s="1"/>
  <c r="AB59" i="4"/>
  <c r="AA50" i="4"/>
  <c r="AJ50" i="3" s="1"/>
  <c r="AB50" i="4"/>
  <c r="AA42" i="4"/>
  <c r="AJ42" i="3" s="1"/>
  <c r="AB42" i="4"/>
  <c r="AA34" i="4"/>
  <c r="AJ36" i="3" s="1"/>
  <c r="AB34" i="4"/>
  <c r="V76" i="5"/>
  <c r="AA76" i="3" s="1"/>
  <c r="V68" i="5"/>
  <c r="AA68" i="3" s="1"/>
  <c r="V60" i="5"/>
  <c r="AA60" i="3" s="1"/>
  <c r="V52" i="5"/>
  <c r="AA52" i="3" s="1"/>
  <c r="V44" i="5"/>
  <c r="AA44" i="3" s="1"/>
  <c r="V36" i="5"/>
  <c r="AA36" i="3" s="1"/>
  <c r="V28" i="5"/>
  <c r="AA28" i="3" s="1"/>
  <c r="V20" i="5"/>
  <c r="AA20" i="3" s="1"/>
  <c r="V12" i="5"/>
  <c r="AA12" i="3" s="1"/>
  <c r="V4" i="5"/>
  <c r="AA4" i="3" s="1"/>
  <c r="V54" i="5"/>
  <c r="AA54" i="3" s="1"/>
  <c r="AA58" i="4"/>
  <c r="AJ57" i="3" s="1"/>
  <c r="AB58" i="4"/>
  <c r="AA41" i="4"/>
  <c r="AJ41" i="3" s="1"/>
  <c r="AB41" i="4"/>
  <c r="V75" i="5"/>
  <c r="AA75" i="3" s="1"/>
  <c r="V67" i="5"/>
  <c r="AA67" i="3" s="1"/>
  <c r="V59" i="5"/>
  <c r="AA59" i="3" s="1"/>
  <c r="V51" i="5"/>
  <c r="AA51" i="3" s="1"/>
  <c r="V43" i="5"/>
  <c r="AA43" i="3" s="1"/>
  <c r="V35" i="5"/>
  <c r="AA35" i="3" s="1"/>
  <c r="V27" i="5"/>
  <c r="AA27" i="3" s="1"/>
  <c r="V19" i="5"/>
  <c r="AA19" i="3" s="1"/>
  <c r="V11" i="5"/>
  <c r="AA11" i="3" s="1"/>
  <c r="V3" i="5"/>
  <c r="AA3" i="3" s="1"/>
  <c r="V78" i="5"/>
  <c r="AA78" i="3" s="1"/>
  <c r="V22" i="5"/>
  <c r="AA22" i="3" s="1"/>
  <c r="AA49" i="4"/>
  <c r="AJ49" i="3" s="1"/>
  <c r="AB49" i="4"/>
  <c r="AA80" i="4"/>
  <c r="AJ79" i="3" s="1"/>
  <c r="AB80" i="4"/>
  <c r="AA75" i="4"/>
  <c r="AJ72" i="3" s="1"/>
  <c r="AB75" i="4"/>
  <c r="AA64" i="4"/>
  <c r="AJ64" i="3" s="1"/>
  <c r="AB64" i="4"/>
  <c r="AA57" i="4"/>
  <c r="AJ56" i="3" s="1"/>
  <c r="AB57" i="4"/>
  <c r="AA48" i="4"/>
  <c r="AJ48" i="3" s="1"/>
  <c r="AB48" i="4"/>
  <c r="AA40" i="4"/>
  <c r="AJ40" i="3" s="1"/>
  <c r="AB40" i="4"/>
  <c r="V74" i="5"/>
  <c r="AA74" i="3" s="1"/>
  <c r="V66" i="5"/>
  <c r="AA66" i="3" s="1"/>
  <c r="V58" i="5"/>
  <c r="AA58" i="3" s="1"/>
  <c r="V50" i="5"/>
  <c r="AA50" i="3" s="1"/>
  <c r="V42" i="5"/>
  <c r="AA42" i="3" s="1"/>
  <c r="V34" i="5"/>
  <c r="AA34" i="3" s="1"/>
  <c r="V26" i="5"/>
  <c r="AA26" i="3" s="1"/>
  <c r="V18" i="5"/>
  <c r="AA18" i="3" s="1"/>
  <c r="V10" i="5"/>
  <c r="AA10" i="3" s="1"/>
  <c r="V2" i="5"/>
  <c r="AA2" i="3" s="1"/>
  <c r="AA61" i="4"/>
  <c r="AJ60" i="3" s="1"/>
  <c r="AB61" i="4"/>
  <c r="V70" i="5"/>
  <c r="AA70" i="3" s="1"/>
  <c r="AA81" i="4"/>
  <c r="AJ80" i="3" s="1"/>
  <c r="AB81" i="4"/>
  <c r="AA79" i="4"/>
  <c r="AJ78" i="3" s="1"/>
  <c r="AB79" i="4"/>
  <c r="AA74" i="4"/>
  <c r="AJ71" i="3" s="1"/>
  <c r="AB74" i="4"/>
  <c r="AA63" i="4"/>
  <c r="AJ63" i="3" s="1"/>
  <c r="AB63" i="4"/>
  <c r="AA56" i="4"/>
  <c r="AJ55" i="3" s="1"/>
  <c r="AB56" i="4"/>
  <c r="AA47" i="4"/>
  <c r="AJ47" i="3" s="1"/>
  <c r="AB47" i="4"/>
  <c r="AA39" i="4"/>
  <c r="AJ39" i="3" s="1"/>
  <c r="AB39" i="4"/>
  <c r="V73" i="5"/>
  <c r="AA73" i="3" s="1"/>
  <c r="V65" i="5"/>
  <c r="AA65" i="3" s="1"/>
  <c r="V57" i="5"/>
  <c r="AA57" i="3" s="1"/>
  <c r="V49" i="5"/>
  <c r="AA49" i="3" s="1"/>
  <c r="V41" i="5"/>
  <c r="AA41" i="3" s="1"/>
  <c r="V33" i="5"/>
  <c r="AA33" i="3" s="1"/>
  <c r="V25" i="5"/>
  <c r="AA25" i="3" s="1"/>
  <c r="V17" i="5"/>
  <c r="AA17" i="3" s="1"/>
  <c r="V9" i="5"/>
  <c r="AA9" i="3" s="1"/>
  <c r="AA44" i="4"/>
  <c r="AJ44" i="3" s="1"/>
  <c r="AB44" i="4"/>
  <c r="V62" i="5"/>
  <c r="AA62" i="3" s="1"/>
  <c r="AA65" i="4"/>
  <c r="AJ65" i="3" s="1"/>
  <c r="AB65" i="4"/>
  <c r="AA78" i="4"/>
  <c r="AJ77" i="3" s="1"/>
  <c r="AB78" i="4"/>
  <c r="AA72" i="4"/>
  <c r="AJ70" i="3" s="1"/>
  <c r="AB72" i="4"/>
  <c r="AA62" i="4"/>
  <c r="AJ62" i="3" s="1"/>
  <c r="AB62" i="4"/>
  <c r="AA55" i="4"/>
  <c r="AJ54" i="3" s="1"/>
  <c r="AB55" i="4"/>
  <c r="AA46" i="4"/>
  <c r="AJ46" i="3" s="1"/>
  <c r="AB46" i="4"/>
  <c r="AA38" i="4"/>
  <c r="AJ38" i="3" s="1"/>
  <c r="AB38" i="4"/>
  <c r="V80" i="5"/>
  <c r="AA80" i="3" s="1"/>
  <c r="V72" i="5"/>
  <c r="AA72" i="3" s="1"/>
  <c r="V64" i="5"/>
  <c r="AA64" i="3" s="1"/>
  <c r="V56" i="5"/>
  <c r="AA56" i="3" s="1"/>
  <c r="V48" i="5"/>
  <c r="AA48" i="3" s="1"/>
  <c r="V40" i="5"/>
  <c r="AA40" i="3" s="1"/>
  <c r="V32" i="5"/>
  <c r="AA32" i="3" s="1"/>
  <c r="V24" i="5"/>
  <c r="AA24" i="3" s="1"/>
  <c r="V16" i="5"/>
  <c r="AA16" i="3" s="1"/>
  <c r="V8" i="5"/>
  <c r="AA8" i="3" s="1"/>
  <c r="AA68" i="4"/>
  <c r="AJ68" i="3" s="1"/>
  <c r="AB68" i="4"/>
  <c r="AA36" i="4"/>
  <c r="AJ29" i="3" s="1"/>
  <c r="AB36" i="4"/>
  <c r="V38" i="5"/>
  <c r="AA38" i="3" s="1"/>
  <c r="AA76" i="4"/>
  <c r="AJ73" i="3" s="1"/>
  <c r="AB76" i="4"/>
  <c r="AA71" i="4"/>
  <c r="AJ81" i="3" s="1"/>
  <c r="AB71" i="4"/>
  <c r="AA70" i="4"/>
  <c r="AJ69" i="3" s="1"/>
  <c r="AB70" i="4"/>
  <c r="AA54" i="4"/>
  <c r="AJ61" i="3" s="1"/>
  <c r="AB54" i="4"/>
  <c r="AA53" i="4"/>
  <c r="AJ53" i="3" s="1"/>
  <c r="AB53" i="4"/>
  <c r="AA45" i="4"/>
  <c r="AJ45" i="3" s="1"/>
  <c r="AB45" i="4"/>
  <c r="AA37" i="4"/>
  <c r="AJ28" i="3" s="1"/>
  <c r="AB37" i="4"/>
  <c r="V79" i="5"/>
  <c r="AA79" i="3" s="1"/>
  <c r="V71" i="5"/>
  <c r="AA71" i="3" s="1"/>
  <c r="V63" i="5"/>
  <c r="AA63" i="3" s="1"/>
  <c r="V55" i="5"/>
  <c r="AA55" i="3" s="1"/>
  <c r="V47" i="5"/>
  <c r="AA47" i="3" s="1"/>
  <c r="V39" i="5"/>
  <c r="AA39" i="3" s="1"/>
  <c r="V31" i="5"/>
  <c r="AA31" i="3" s="1"/>
  <c r="V23" i="5"/>
  <c r="AA23" i="3" s="1"/>
  <c r="V15" i="5"/>
  <c r="AA15" i="3" s="1"/>
  <c r="V7" i="5"/>
  <c r="AA7" i="3" s="1"/>
  <c r="Y60" i="4"/>
  <c r="AH59" i="3" s="1"/>
  <c r="Z60" i="4"/>
  <c r="AI59" i="3" s="1"/>
  <c r="Y66" i="4"/>
  <c r="AH66" i="3" s="1"/>
  <c r="Z66" i="4"/>
  <c r="AI66" i="3" s="1"/>
  <c r="Y26" i="4"/>
  <c r="AH26" i="3" s="1"/>
  <c r="Z26" i="4"/>
  <c r="AI26" i="3" s="1"/>
  <c r="Y68" i="4"/>
  <c r="AH68" i="3" s="1"/>
  <c r="Z68" i="4"/>
  <c r="AI68" i="3" s="1"/>
  <c r="Y61" i="4"/>
  <c r="AH60" i="3" s="1"/>
  <c r="Z61" i="4"/>
  <c r="AI60" i="3" s="1"/>
  <c r="Y52" i="4"/>
  <c r="AH52" i="3" s="1"/>
  <c r="Z52" i="4"/>
  <c r="AI52" i="3" s="1"/>
  <c r="Y44" i="4"/>
  <c r="AH44" i="3" s="1"/>
  <c r="Z44" i="4"/>
  <c r="AI44" i="3" s="1"/>
  <c r="Y36" i="4"/>
  <c r="AH29" i="3" s="1"/>
  <c r="Z36" i="4"/>
  <c r="AI29" i="3" s="1"/>
  <c r="Y34" i="4"/>
  <c r="AH36" i="3" s="1"/>
  <c r="Z34" i="4"/>
  <c r="AI36" i="3" s="1"/>
  <c r="Y43" i="4"/>
  <c r="AH43" i="3" s="1"/>
  <c r="Z43" i="4"/>
  <c r="AI43" i="3" s="1"/>
  <c r="Y69" i="4"/>
  <c r="AH74" i="3" s="1"/>
  <c r="Z69" i="4"/>
  <c r="AI74" i="3" s="1"/>
  <c r="Y81" i="4"/>
  <c r="AH80" i="3" s="1"/>
  <c r="Z81" i="4"/>
  <c r="AI80" i="3" s="1"/>
  <c r="Y76" i="4"/>
  <c r="AH73" i="3" s="1"/>
  <c r="Z76" i="4"/>
  <c r="AI73" i="3" s="1"/>
  <c r="Y65" i="4"/>
  <c r="AH65" i="3" s="1"/>
  <c r="Z65" i="4"/>
  <c r="AI65" i="3" s="1"/>
  <c r="Y58" i="4"/>
  <c r="AH57" i="3" s="1"/>
  <c r="Z58" i="4"/>
  <c r="AI57" i="3" s="1"/>
  <c r="Y49" i="4"/>
  <c r="AH49" i="3" s="1"/>
  <c r="Z49" i="4"/>
  <c r="AI49" i="3" s="1"/>
  <c r="Y41" i="4"/>
  <c r="AH41" i="3" s="1"/>
  <c r="Z41" i="4"/>
  <c r="AI41" i="3" s="1"/>
  <c r="Y77" i="4"/>
  <c r="AH75" i="3" s="1"/>
  <c r="Z77" i="4"/>
  <c r="AI75" i="3" s="1"/>
  <c r="Y42" i="4"/>
  <c r="AH42" i="3" s="1"/>
  <c r="Z42" i="4"/>
  <c r="AI42" i="3" s="1"/>
  <c r="Y80" i="4"/>
  <c r="AH79" i="3" s="1"/>
  <c r="Z80" i="4"/>
  <c r="AI79" i="3" s="1"/>
  <c r="Y75" i="4"/>
  <c r="AH72" i="3" s="1"/>
  <c r="Z75" i="4"/>
  <c r="AI72" i="3" s="1"/>
  <c r="Y64" i="4"/>
  <c r="AH64" i="3" s="1"/>
  <c r="Z64" i="4"/>
  <c r="AI64" i="3" s="1"/>
  <c r="Y57" i="4"/>
  <c r="AH56" i="3" s="1"/>
  <c r="Z57" i="4"/>
  <c r="AI56" i="3" s="1"/>
  <c r="Y48" i="4"/>
  <c r="AH48" i="3" s="1"/>
  <c r="Z48" i="4"/>
  <c r="AI48" i="3" s="1"/>
  <c r="Y40" i="4"/>
  <c r="AH40" i="3" s="1"/>
  <c r="Z40" i="4"/>
  <c r="AI40" i="3" s="1"/>
  <c r="Y67" i="4"/>
  <c r="AH67" i="3" s="1"/>
  <c r="Z67" i="4"/>
  <c r="AI67" i="3" s="1"/>
  <c r="Y59" i="4"/>
  <c r="AH58" i="3" s="1"/>
  <c r="Z59" i="4"/>
  <c r="AI58" i="3" s="1"/>
  <c r="Y79" i="4"/>
  <c r="AH78" i="3" s="1"/>
  <c r="Z79" i="4"/>
  <c r="AI78" i="3" s="1"/>
  <c r="Y74" i="4"/>
  <c r="AH71" i="3" s="1"/>
  <c r="Z74" i="4"/>
  <c r="AI71" i="3" s="1"/>
  <c r="Y63" i="4"/>
  <c r="AH63" i="3" s="1"/>
  <c r="Z63" i="4"/>
  <c r="AI63" i="3" s="1"/>
  <c r="Y56" i="4"/>
  <c r="AH55" i="3" s="1"/>
  <c r="Z56" i="4"/>
  <c r="AI55" i="3" s="1"/>
  <c r="Y47" i="4"/>
  <c r="AH47" i="3" s="1"/>
  <c r="Z47" i="4"/>
  <c r="AI47" i="3" s="1"/>
  <c r="Y39" i="4"/>
  <c r="AH39" i="3" s="1"/>
  <c r="Z39" i="4"/>
  <c r="AI39" i="3" s="1"/>
  <c r="Y35" i="4"/>
  <c r="AH37" i="3" s="1"/>
  <c r="Z35" i="4"/>
  <c r="AI37" i="3" s="1"/>
  <c r="Y78" i="4"/>
  <c r="AH77" i="3" s="1"/>
  <c r="Z78" i="4"/>
  <c r="AI77" i="3" s="1"/>
  <c r="Y72" i="4"/>
  <c r="AH70" i="3" s="1"/>
  <c r="Z72" i="4"/>
  <c r="AI70" i="3" s="1"/>
  <c r="Y62" i="4"/>
  <c r="AH62" i="3" s="1"/>
  <c r="Z62" i="4"/>
  <c r="AI62" i="3" s="1"/>
  <c r="Y55" i="4"/>
  <c r="AH54" i="3" s="1"/>
  <c r="Z55" i="4"/>
  <c r="AI54" i="3" s="1"/>
  <c r="Y46" i="4"/>
  <c r="AH46" i="3" s="1"/>
  <c r="Z46" i="4"/>
  <c r="AI46" i="3" s="1"/>
  <c r="Y38" i="4"/>
  <c r="AH38" i="3" s="1"/>
  <c r="Z38" i="4"/>
  <c r="AI38" i="3" s="1"/>
  <c r="Y51" i="4"/>
  <c r="AH51" i="3" s="1"/>
  <c r="Z51" i="4"/>
  <c r="AI51" i="3" s="1"/>
  <c r="Y50" i="4"/>
  <c r="AH50" i="3" s="1"/>
  <c r="Z50" i="4"/>
  <c r="AI50" i="3" s="1"/>
  <c r="Y71" i="4"/>
  <c r="AH81" i="3" s="1"/>
  <c r="Z71" i="4"/>
  <c r="AI81" i="3" s="1"/>
  <c r="Y70" i="4"/>
  <c r="AH69" i="3" s="1"/>
  <c r="Z70" i="4"/>
  <c r="AI69" i="3" s="1"/>
  <c r="Y54" i="4"/>
  <c r="AH61" i="3" s="1"/>
  <c r="Z54" i="4"/>
  <c r="AI61" i="3" s="1"/>
  <c r="Y53" i="4"/>
  <c r="AH53" i="3" s="1"/>
  <c r="Z53" i="4"/>
  <c r="AI53" i="3" s="1"/>
  <c r="Y45" i="4"/>
  <c r="AH45" i="3" s="1"/>
  <c r="Z45" i="4"/>
  <c r="AI45" i="3" s="1"/>
  <c r="Y37" i="4"/>
  <c r="AH28" i="3" s="1"/>
  <c r="Z37" i="4"/>
  <c r="AI28" i="3" s="1"/>
  <c r="V68" i="4"/>
  <c r="AF68" i="3" s="1"/>
  <c r="X68" i="4"/>
  <c r="AG68" i="3" s="1"/>
  <c r="W68" i="4"/>
  <c r="V36" i="4"/>
  <c r="AF29" i="3" s="1"/>
  <c r="X36" i="4"/>
  <c r="AG29" i="3" s="1"/>
  <c r="W36" i="4"/>
  <c r="V77" i="4"/>
  <c r="AF75" i="3" s="1"/>
  <c r="X77" i="4"/>
  <c r="AG75" i="3" s="1"/>
  <c r="W77" i="4"/>
  <c r="V67" i="4"/>
  <c r="AF67" i="3" s="1"/>
  <c r="X67" i="4"/>
  <c r="AG67" i="3" s="1"/>
  <c r="W67" i="4"/>
  <c r="V60" i="4"/>
  <c r="AF59" i="3" s="1"/>
  <c r="X60" i="4"/>
  <c r="AG59" i="3" s="1"/>
  <c r="W60" i="4"/>
  <c r="V51" i="4"/>
  <c r="AF51" i="3" s="1"/>
  <c r="X51" i="4"/>
  <c r="AG51" i="3" s="1"/>
  <c r="W51" i="4"/>
  <c r="V43" i="4"/>
  <c r="AF43" i="3" s="1"/>
  <c r="X43" i="4"/>
  <c r="AG43" i="3" s="1"/>
  <c r="W43" i="4"/>
  <c r="V35" i="4"/>
  <c r="AF37" i="3" s="1"/>
  <c r="X35" i="4"/>
  <c r="AG37" i="3" s="1"/>
  <c r="W35" i="4"/>
  <c r="V52" i="4"/>
  <c r="AF52" i="3" s="1"/>
  <c r="X52" i="4"/>
  <c r="AG52" i="3" s="1"/>
  <c r="W52" i="4"/>
  <c r="V69" i="4"/>
  <c r="AF74" i="3" s="1"/>
  <c r="X69" i="4"/>
  <c r="AG74" i="3" s="1"/>
  <c r="W69" i="4"/>
  <c r="V66" i="4"/>
  <c r="AF66" i="3" s="1"/>
  <c r="W66" i="4"/>
  <c r="X66" i="4"/>
  <c r="AG66" i="3" s="1"/>
  <c r="V59" i="4"/>
  <c r="AF58" i="3" s="1"/>
  <c r="X59" i="4"/>
  <c r="AG58" i="3" s="1"/>
  <c r="W59" i="4"/>
  <c r="V50" i="4"/>
  <c r="AF50" i="3" s="1"/>
  <c r="X50" i="4"/>
  <c r="AG50" i="3" s="1"/>
  <c r="W50" i="4"/>
  <c r="V42" i="4"/>
  <c r="AF42" i="3" s="1"/>
  <c r="X42" i="4"/>
  <c r="AG42" i="3" s="1"/>
  <c r="W42" i="4"/>
  <c r="V34" i="4"/>
  <c r="AF36" i="3" s="1"/>
  <c r="W34" i="4"/>
  <c r="X34" i="4"/>
  <c r="AG36" i="3" s="1"/>
  <c r="V61" i="4"/>
  <c r="AF60" i="3" s="1"/>
  <c r="X61" i="4"/>
  <c r="AG60" i="3" s="1"/>
  <c r="W61" i="4"/>
  <c r="V81" i="4"/>
  <c r="AF80" i="3" s="1"/>
  <c r="X81" i="4"/>
  <c r="AG80" i="3" s="1"/>
  <c r="W81" i="4"/>
  <c r="V76" i="4"/>
  <c r="AF73" i="3" s="1"/>
  <c r="X76" i="4"/>
  <c r="AG73" i="3" s="1"/>
  <c r="W76" i="4"/>
  <c r="V65" i="4"/>
  <c r="AF65" i="3" s="1"/>
  <c r="X65" i="4"/>
  <c r="AG65" i="3" s="1"/>
  <c r="W65" i="4"/>
  <c r="V58" i="4"/>
  <c r="AF57" i="3" s="1"/>
  <c r="W58" i="4"/>
  <c r="X58" i="4"/>
  <c r="AG57" i="3" s="1"/>
  <c r="V49" i="4"/>
  <c r="AF49" i="3" s="1"/>
  <c r="X49" i="4"/>
  <c r="AG49" i="3" s="1"/>
  <c r="W49" i="4"/>
  <c r="V41" i="4"/>
  <c r="AF41" i="3" s="1"/>
  <c r="X41" i="4"/>
  <c r="AG41" i="3" s="1"/>
  <c r="W41" i="4"/>
  <c r="V44" i="4"/>
  <c r="AF44" i="3" s="1"/>
  <c r="X44" i="4"/>
  <c r="AG44" i="3" s="1"/>
  <c r="W44" i="4"/>
  <c r="V80" i="4"/>
  <c r="AF79" i="3" s="1"/>
  <c r="X80" i="4"/>
  <c r="AG79" i="3" s="1"/>
  <c r="W80" i="4"/>
  <c r="V57" i="4"/>
  <c r="AF56" i="3" s="1"/>
  <c r="X57" i="4"/>
  <c r="AG56" i="3" s="1"/>
  <c r="W57" i="4"/>
  <c r="V48" i="4"/>
  <c r="AF48" i="3" s="1"/>
  <c r="X48" i="4"/>
  <c r="AG48" i="3" s="1"/>
  <c r="W48" i="4"/>
  <c r="V40" i="4"/>
  <c r="AF40" i="3" s="1"/>
  <c r="X40" i="4"/>
  <c r="AG40" i="3" s="1"/>
  <c r="W40" i="4"/>
  <c r="V75" i="4"/>
  <c r="AF72" i="3" s="1"/>
  <c r="X75" i="4"/>
  <c r="AG72" i="3" s="1"/>
  <c r="W75" i="4"/>
  <c r="V79" i="4"/>
  <c r="AF78" i="3" s="1"/>
  <c r="X79" i="4"/>
  <c r="AG78" i="3" s="1"/>
  <c r="W79" i="4"/>
  <c r="V74" i="4"/>
  <c r="AF71" i="3" s="1"/>
  <c r="X74" i="4"/>
  <c r="AG71" i="3" s="1"/>
  <c r="W74" i="4"/>
  <c r="V63" i="4"/>
  <c r="AF63" i="3" s="1"/>
  <c r="X63" i="4"/>
  <c r="AG63" i="3" s="1"/>
  <c r="W63" i="4"/>
  <c r="V56" i="4"/>
  <c r="AF55" i="3" s="1"/>
  <c r="X56" i="4"/>
  <c r="AG55" i="3" s="1"/>
  <c r="W56" i="4"/>
  <c r="V47" i="4"/>
  <c r="AF47" i="3" s="1"/>
  <c r="X47" i="4"/>
  <c r="AG47" i="3" s="1"/>
  <c r="W47" i="4"/>
  <c r="V39" i="4"/>
  <c r="AF39" i="3" s="1"/>
  <c r="X39" i="4"/>
  <c r="AG39" i="3" s="1"/>
  <c r="W39" i="4"/>
  <c r="V64" i="4"/>
  <c r="AF64" i="3" s="1"/>
  <c r="X64" i="4"/>
  <c r="AG64" i="3" s="1"/>
  <c r="W64" i="4"/>
  <c r="V78" i="4"/>
  <c r="AF77" i="3" s="1"/>
  <c r="W78" i="4"/>
  <c r="X78" i="4"/>
  <c r="AG77" i="3" s="1"/>
  <c r="V72" i="4"/>
  <c r="AF70" i="3" s="1"/>
  <c r="W72" i="4"/>
  <c r="X72" i="4"/>
  <c r="AG70" i="3" s="1"/>
  <c r="V62" i="4"/>
  <c r="AF62" i="3" s="1"/>
  <c r="X62" i="4"/>
  <c r="AG62" i="3" s="1"/>
  <c r="W62" i="4"/>
  <c r="V55" i="4"/>
  <c r="AF54" i="3" s="1"/>
  <c r="X55" i="4"/>
  <c r="AG54" i="3" s="1"/>
  <c r="W55" i="4"/>
  <c r="V46" i="4"/>
  <c r="AF46" i="3" s="1"/>
  <c r="W46" i="4"/>
  <c r="X46" i="4"/>
  <c r="AG46" i="3" s="1"/>
  <c r="V38" i="4"/>
  <c r="AF38" i="3" s="1"/>
  <c r="W38" i="4"/>
  <c r="X38" i="4"/>
  <c r="AG38" i="3" s="1"/>
  <c r="V26" i="4"/>
  <c r="AF26" i="3" s="1"/>
  <c r="W26" i="4"/>
  <c r="X26" i="4"/>
  <c r="AG26" i="3" s="1"/>
  <c r="V71" i="4"/>
  <c r="AF81" i="3" s="1"/>
  <c r="X71" i="4"/>
  <c r="AG81" i="3" s="1"/>
  <c r="W71" i="4"/>
  <c r="V70" i="4"/>
  <c r="AF69" i="3" s="1"/>
  <c r="W70" i="4"/>
  <c r="X70" i="4"/>
  <c r="AG69" i="3" s="1"/>
  <c r="V54" i="4"/>
  <c r="AF61" i="3" s="1"/>
  <c r="X54" i="4"/>
  <c r="AG61" i="3" s="1"/>
  <c r="W54" i="4"/>
  <c r="V53" i="4"/>
  <c r="AF53" i="3" s="1"/>
  <c r="X53" i="4"/>
  <c r="AG53" i="3" s="1"/>
  <c r="W53" i="4"/>
  <c r="V45" i="4"/>
  <c r="AF45" i="3" s="1"/>
  <c r="X45" i="4"/>
  <c r="AG45" i="3" s="1"/>
  <c r="W45" i="4"/>
  <c r="V37" i="4"/>
  <c r="AF28" i="3" s="1"/>
  <c r="X37" i="4"/>
  <c r="AG28" i="3" s="1"/>
  <c r="W37" i="4"/>
  <c r="AJ52" i="3"/>
  <c r="AI30" i="3"/>
  <c r="AJ30" i="3"/>
  <c r="AI24" i="3"/>
  <c r="AJ24" i="3"/>
  <c r="AI27" i="3"/>
  <c r="AJ27" i="3"/>
  <c r="AI35" i="3"/>
  <c r="AJ35" i="3"/>
  <c r="AI25" i="3"/>
  <c r="AJ25" i="3"/>
  <c r="AI31" i="3"/>
  <c r="AJ31" i="3"/>
  <c r="AI34" i="3"/>
  <c r="AJ34" i="3"/>
  <c r="AI33" i="3"/>
  <c r="AJ33" i="3"/>
  <c r="AI32" i="3"/>
  <c r="AJ32" i="3"/>
  <c r="AG31" i="3"/>
  <c r="AH31" i="3"/>
  <c r="AG27" i="3"/>
  <c r="AH27" i="3"/>
  <c r="AG35" i="3"/>
  <c r="AH35" i="3"/>
  <c r="AG25" i="3"/>
  <c r="AH25" i="3"/>
  <c r="AG34" i="3"/>
  <c r="AH34" i="3"/>
  <c r="AG24" i="3"/>
  <c r="AH24" i="3"/>
  <c r="AG33" i="3"/>
  <c r="AH33" i="3"/>
  <c r="AG30" i="3"/>
  <c r="AH30" i="3"/>
  <c r="AG32" i="3"/>
  <c r="AH32" i="3"/>
  <c r="AF31" i="3"/>
  <c r="AF24" i="3"/>
  <c r="AF27" i="3"/>
  <c r="AF35" i="3"/>
  <c r="AF25" i="3"/>
  <c r="AF34" i="3"/>
  <c r="AF30" i="3"/>
  <c r="AF33" i="3"/>
  <c r="AF32" i="3"/>
  <c r="Q81" i="3"/>
  <c r="AD46" i="3"/>
  <c r="AD5" i="3"/>
  <c r="AC63" i="3"/>
  <c r="AD63" i="3"/>
  <c r="AD31" i="3"/>
  <c r="AD78" i="3"/>
  <c r="AD76" i="3"/>
  <c r="AC44" i="3"/>
  <c r="AD75" i="3"/>
  <c r="AD74" i="3"/>
  <c r="AC54" i="3"/>
  <c r="AD53" i="3"/>
  <c r="AD73" i="3"/>
  <c r="AD65" i="3"/>
  <c r="AD64" i="3"/>
  <c r="AC32" i="3"/>
  <c r="AB54" i="3"/>
  <c r="AB46" i="3"/>
  <c r="AE53" i="3"/>
  <c r="AB29" i="3"/>
  <c r="AE5" i="3"/>
  <c r="AB44" i="3"/>
  <c r="AB36" i="3"/>
  <c r="AE75" i="3"/>
  <c r="AB43" i="3"/>
  <c r="AB35" i="3"/>
  <c r="AE63" i="3"/>
  <c r="AB42" i="3"/>
  <c r="AB31" i="3"/>
  <c r="AE73" i="3"/>
  <c r="AB33" i="3"/>
  <c r="AB32" i="3"/>
  <c r="AA77" i="3"/>
  <c r="AF23" i="3" l="1"/>
  <c r="AF22" i="3"/>
  <c r="AJ23" i="3"/>
  <c r="AJ22" i="3"/>
  <c r="AI23" i="3"/>
  <c r="AI22" i="3"/>
  <c r="AH23" i="3"/>
  <c r="AH22" i="3"/>
  <c r="AG23" i="3"/>
  <c r="AG22" i="3"/>
  <c r="T65" i="3" l="1"/>
  <c r="T80" i="3"/>
  <c r="T79" i="3"/>
  <c r="T71" i="3"/>
  <c r="T63" i="3"/>
  <c r="T55" i="3"/>
  <c r="T47" i="3"/>
  <c r="T39" i="3"/>
  <c r="T31" i="3"/>
  <c r="T23" i="3"/>
  <c r="T15" i="3"/>
  <c r="S15" i="3"/>
  <c r="T7" i="3"/>
  <c r="S7" i="3"/>
  <c r="T78" i="3"/>
  <c r="T70" i="3"/>
  <c r="T62" i="3"/>
  <c r="T54" i="3"/>
  <c r="T46" i="3"/>
  <c r="T38" i="3"/>
  <c r="T30" i="3"/>
  <c r="T22" i="3"/>
  <c r="T14" i="3"/>
  <c r="S14" i="3"/>
  <c r="T6" i="3"/>
  <c r="S6" i="3"/>
  <c r="T41" i="3"/>
  <c r="T69" i="3"/>
  <c r="T61" i="3"/>
  <c r="T53" i="3"/>
  <c r="T45" i="3"/>
  <c r="T37" i="3"/>
  <c r="T29" i="3"/>
  <c r="T21" i="3"/>
  <c r="S21" i="3"/>
  <c r="T13" i="3"/>
  <c r="S13" i="3"/>
  <c r="T5" i="3"/>
  <c r="S5" i="3"/>
  <c r="T49" i="3"/>
  <c r="T76" i="3"/>
  <c r="T68" i="3"/>
  <c r="T60" i="3"/>
  <c r="T52" i="3"/>
  <c r="T44" i="3"/>
  <c r="T36" i="3"/>
  <c r="T28" i="3"/>
  <c r="T20" i="3"/>
  <c r="S20" i="3"/>
  <c r="T12" i="3"/>
  <c r="S12" i="3"/>
  <c r="T4" i="3"/>
  <c r="S4" i="3"/>
  <c r="T73" i="3"/>
  <c r="T77" i="3"/>
  <c r="T75" i="3"/>
  <c r="T67" i="3"/>
  <c r="T59" i="3"/>
  <c r="T51" i="3"/>
  <c r="T43" i="3"/>
  <c r="T35" i="3"/>
  <c r="T27" i="3"/>
  <c r="T19" i="3"/>
  <c r="S19" i="3"/>
  <c r="T11" i="3"/>
  <c r="S11" i="3"/>
  <c r="T3" i="3"/>
  <c r="S3" i="3"/>
  <c r="T74" i="3"/>
  <c r="T66" i="3"/>
  <c r="T58" i="3"/>
  <c r="T50" i="3"/>
  <c r="T42" i="3"/>
  <c r="T34" i="3"/>
  <c r="T26" i="3"/>
  <c r="T18" i="3"/>
  <c r="S18" i="3"/>
  <c r="T10" i="3"/>
  <c r="S10" i="3"/>
  <c r="T2" i="3"/>
  <c r="S2" i="3"/>
  <c r="T33" i="3"/>
  <c r="T25" i="3"/>
  <c r="T17" i="3"/>
  <c r="S17" i="3"/>
  <c r="T9" i="3"/>
  <c r="S9" i="3"/>
  <c r="T57" i="3"/>
  <c r="T72" i="3"/>
  <c r="T64" i="3"/>
  <c r="T56" i="3"/>
  <c r="T48" i="3"/>
  <c r="T40" i="3"/>
  <c r="T32" i="3"/>
  <c r="T24" i="3"/>
  <c r="T16" i="3"/>
  <c r="S16" i="3"/>
  <c r="T8" i="3"/>
  <c r="S8" i="3"/>
  <c r="R22" i="3"/>
  <c r="R62" i="3"/>
  <c r="R46" i="3"/>
  <c r="R32" i="3"/>
  <c r="R70" i="3"/>
  <c r="R54" i="3"/>
  <c r="R38" i="3"/>
  <c r="R26" i="3"/>
  <c r="R69" i="3"/>
  <c r="R61" i="3"/>
  <c r="R53" i="3"/>
  <c r="R45" i="3"/>
  <c r="R28" i="3"/>
  <c r="R31" i="3"/>
  <c r="R77" i="3"/>
  <c r="R47" i="3"/>
  <c r="R76" i="3"/>
  <c r="R60" i="3"/>
  <c r="R30" i="3"/>
  <c r="R56" i="3"/>
  <c r="R55" i="3"/>
  <c r="R33" i="3"/>
  <c r="R68" i="3"/>
  <c r="R52" i="3"/>
  <c r="R44" i="3"/>
  <c r="R29" i="3"/>
  <c r="R75" i="3"/>
  <c r="R67" i="3"/>
  <c r="R59" i="3"/>
  <c r="R51" i="3"/>
  <c r="R43" i="3"/>
  <c r="R37" i="3"/>
  <c r="R24" i="3"/>
  <c r="R72" i="3"/>
  <c r="R63" i="3"/>
  <c r="R80" i="3"/>
  <c r="R66" i="3"/>
  <c r="R42" i="3"/>
  <c r="R78" i="3"/>
  <c r="R71" i="3"/>
  <c r="R39" i="3"/>
  <c r="R74" i="3"/>
  <c r="R58" i="3"/>
  <c r="R50" i="3"/>
  <c r="R36" i="3"/>
  <c r="R27" i="3"/>
  <c r="R79" i="3"/>
  <c r="R73" i="3"/>
  <c r="R65" i="3"/>
  <c r="R57" i="3"/>
  <c r="R49" i="3"/>
  <c r="R41" i="3"/>
  <c r="R35" i="3"/>
  <c r="R25" i="3"/>
  <c r="R64" i="3"/>
  <c r="R48" i="3"/>
  <c r="R40" i="3"/>
  <c r="R34" i="3"/>
  <c r="R23" i="3"/>
  <c r="S73" i="3" l="1"/>
  <c r="S28" i="3"/>
  <c r="S59" i="3"/>
  <c r="S42" i="3"/>
  <c r="S32" i="3"/>
  <c r="S27" i="3"/>
  <c r="R81" i="3"/>
  <c r="S81" i="3"/>
  <c r="S45" i="3"/>
  <c r="S41" i="3"/>
  <c r="S30" i="3"/>
  <c r="S62" i="3"/>
  <c r="S47" i="3"/>
  <c r="S79" i="3"/>
  <c r="S64" i="3"/>
  <c r="S60" i="3"/>
  <c r="S40" i="3"/>
  <c r="S72" i="3"/>
  <c r="S25" i="3"/>
  <c r="S50" i="3"/>
  <c r="S35" i="3"/>
  <c r="S67" i="3"/>
  <c r="S36" i="3"/>
  <c r="S68" i="3"/>
  <c r="S53" i="3"/>
  <c r="S38" i="3"/>
  <c r="S70" i="3"/>
  <c r="S23" i="3"/>
  <c r="S55" i="3"/>
  <c r="S80" i="3"/>
  <c r="S48" i="3"/>
  <c r="S57" i="3"/>
  <c r="S33" i="3"/>
  <c r="S26" i="3"/>
  <c r="S58" i="3"/>
  <c r="S43" i="3"/>
  <c r="S75" i="3"/>
  <c r="S44" i="3"/>
  <c r="S76" i="3"/>
  <c r="S74" i="3"/>
  <c r="S61" i="3"/>
  <c r="S46" i="3"/>
  <c r="S78" i="3"/>
  <c r="S31" i="3"/>
  <c r="S63" i="3"/>
  <c r="S65" i="3"/>
  <c r="S24" i="3"/>
  <c r="S56" i="3"/>
  <c r="S34" i="3"/>
  <c r="S66" i="3"/>
  <c r="S51" i="3"/>
  <c r="S77" i="3"/>
  <c r="S52" i="3"/>
  <c r="S49" i="3"/>
  <c r="S37" i="3"/>
  <c r="S69" i="3"/>
  <c r="S22" i="3"/>
  <c r="S54" i="3"/>
  <c r="S39" i="3"/>
  <c r="S71" i="3"/>
  <c r="S29" i="3"/>
  <c r="Q32" i="3"/>
  <c r="Q64" i="3"/>
  <c r="Q49" i="3"/>
  <c r="Q9" i="3"/>
  <c r="Q57" i="3"/>
  <c r="Q10" i="3"/>
  <c r="Q42" i="3"/>
  <c r="Q74" i="3"/>
  <c r="Q51" i="3"/>
  <c r="Q22" i="3"/>
  <c r="Q20" i="3"/>
  <c r="Q52" i="3"/>
  <c r="Q37" i="3"/>
  <c r="Q69" i="3"/>
  <c r="Q15" i="3"/>
  <c r="Q47" i="3"/>
  <c r="Q79" i="3"/>
  <c r="Q40" i="3"/>
  <c r="Q65" i="3"/>
  <c r="Q73" i="3"/>
  <c r="Q50" i="3"/>
  <c r="Q78" i="3"/>
  <c r="Q28" i="3"/>
  <c r="Q60" i="3"/>
  <c r="Q13" i="3"/>
  <c r="Q45" i="3"/>
  <c r="Q77" i="3"/>
  <c r="Q23" i="3"/>
  <c r="Q55" i="3"/>
  <c r="Q72" i="3"/>
  <c r="Q17" i="3"/>
  <c r="Q18" i="3"/>
  <c r="Q46" i="3"/>
  <c r="Q27" i="3"/>
  <c r="Q59" i="3"/>
  <c r="Q48" i="3"/>
  <c r="Q80" i="3"/>
  <c r="Q33" i="3"/>
  <c r="Q26" i="3"/>
  <c r="Q3" i="3"/>
  <c r="Q67" i="3"/>
  <c r="Q36" i="3"/>
  <c r="Q68" i="3"/>
  <c r="Q53" i="3"/>
  <c r="Q54" i="3"/>
  <c r="Q31" i="3"/>
  <c r="Q63" i="3"/>
  <c r="Q30" i="3"/>
  <c r="Q38" i="3"/>
  <c r="Q58" i="3"/>
  <c r="Q35" i="3"/>
  <c r="Q24" i="3"/>
  <c r="Q25" i="3"/>
  <c r="Q41" i="3"/>
  <c r="Q34" i="3"/>
  <c r="Q11" i="3"/>
  <c r="Q75" i="3"/>
  <c r="Q12" i="3"/>
  <c r="Q44" i="3"/>
  <c r="Q76" i="3"/>
  <c r="Q29" i="3"/>
  <c r="Q61" i="3"/>
  <c r="Q7" i="3"/>
  <c r="Q39" i="3"/>
  <c r="Q71" i="3"/>
  <c r="Q70" i="3"/>
  <c r="Q56" i="3"/>
  <c r="Q62" i="3"/>
  <c r="Q2" i="3"/>
  <c r="Q66" i="3"/>
  <c r="Q43" i="3"/>
  <c r="P6" i="3"/>
  <c r="Q6" i="3"/>
  <c r="P21" i="3"/>
  <c r="Q21" i="3"/>
  <c r="P16" i="3"/>
  <c r="Q16" i="3"/>
  <c r="P14" i="3"/>
  <c r="Q14" i="3"/>
  <c r="P4" i="3"/>
  <c r="Q4" i="3"/>
  <c r="P8" i="3"/>
  <c r="Q8" i="3"/>
  <c r="P19" i="3"/>
  <c r="Q19" i="3"/>
  <c r="P5" i="3"/>
  <c r="Q5" i="3"/>
  <c r="P34" i="3"/>
  <c r="P12" i="3"/>
  <c r="P80" i="3"/>
  <c r="P33" i="3"/>
  <c r="P26" i="3"/>
  <c r="P3" i="3"/>
  <c r="P67" i="3"/>
  <c r="P36" i="3"/>
  <c r="P62" i="3"/>
  <c r="P75" i="3"/>
  <c r="P76" i="3"/>
  <c r="P29" i="3"/>
  <c r="P61" i="3"/>
  <c r="P7" i="3"/>
  <c r="P39" i="3"/>
  <c r="P71" i="3"/>
  <c r="P70" i="3"/>
  <c r="P24" i="3"/>
  <c r="P11" i="3"/>
  <c r="P32" i="3"/>
  <c r="P49" i="3"/>
  <c r="P57" i="3"/>
  <c r="P42" i="3"/>
  <c r="P22" i="3"/>
  <c r="P52" i="3"/>
  <c r="P37" i="3"/>
  <c r="P69" i="3"/>
  <c r="P15" i="3"/>
  <c r="P47" i="3"/>
  <c r="P79" i="3"/>
  <c r="P41" i="3"/>
  <c r="P44" i="3"/>
  <c r="P81" i="3"/>
  <c r="P64" i="3"/>
  <c r="P9" i="3"/>
  <c r="P10" i="3"/>
  <c r="P74" i="3"/>
  <c r="P51" i="3"/>
  <c r="P20" i="3"/>
  <c r="P56" i="3"/>
  <c r="P66" i="3"/>
  <c r="P72" i="3"/>
  <c r="P17" i="3"/>
  <c r="P18" i="3"/>
  <c r="P46" i="3"/>
  <c r="P59" i="3"/>
  <c r="P28" i="3"/>
  <c r="P60" i="3"/>
  <c r="P13" i="3"/>
  <c r="P45" i="3"/>
  <c r="P77" i="3"/>
  <c r="P23" i="3"/>
  <c r="P55" i="3"/>
  <c r="P2" i="3"/>
  <c r="P40" i="3"/>
  <c r="P65" i="3"/>
  <c r="P73" i="3"/>
  <c r="P50" i="3"/>
  <c r="P27" i="3"/>
  <c r="P78" i="3"/>
  <c r="P25" i="3"/>
  <c r="P43" i="3"/>
  <c r="P48" i="3"/>
  <c r="P38" i="3"/>
  <c r="P58" i="3"/>
  <c r="P35" i="3"/>
  <c r="P68" i="3"/>
  <c r="P53" i="3"/>
  <c r="P54" i="3"/>
  <c r="P31" i="3"/>
  <c r="P63" i="3"/>
  <c r="P30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<sst xmlns="http://schemas.openxmlformats.org/spreadsheetml/2006/main" count="568" uniqueCount="269">
  <si>
    <t>Subterráneos</t>
  </si>
  <si>
    <t>Cota 0</t>
  </si>
  <si>
    <t>Piso 1</t>
  </si>
  <si>
    <t>Piso Tipo</t>
  </si>
  <si>
    <t>Techo</t>
  </si>
  <si>
    <t>Total</t>
  </si>
  <si>
    <t>Código</t>
  </si>
  <si>
    <t>Proyecto</t>
  </si>
  <si>
    <t>Peso</t>
  </si>
  <si>
    <t>Volumen</t>
  </si>
  <si>
    <t>Área</t>
  </si>
  <si>
    <t>Blest Gana II</t>
  </si>
  <si>
    <t>Sucre</t>
  </si>
  <si>
    <t>Nibelungos</t>
  </si>
  <si>
    <t>Hannover</t>
  </si>
  <si>
    <t>Irarrázaval</t>
  </si>
  <si>
    <t>Rosas</t>
  </si>
  <si>
    <t>Mujica T3</t>
  </si>
  <si>
    <t>Colón</t>
  </si>
  <si>
    <t>Diag. Oriente</t>
  </si>
  <si>
    <t>Holanda Pocuro</t>
  </si>
  <si>
    <t>Pedro Rico I</t>
  </si>
  <si>
    <t>Robles</t>
  </si>
  <si>
    <t>Carrera Domeyko</t>
  </si>
  <si>
    <t>Eleuterio Ramírez</t>
  </si>
  <si>
    <t>Vicente Huidobro</t>
  </si>
  <si>
    <t>Tucapel</t>
  </si>
  <si>
    <t>Alcántara</t>
  </si>
  <si>
    <t>Portofino</t>
  </si>
  <si>
    <t>San Joaquín</t>
  </si>
  <si>
    <t>2 Norte</t>
  </si>
  <si>
    <t>Lyon BOX</t>
  </si>
  <si>
    <t>Eliodoro</t>
  </si>
  <si>
    <t>Villaseca</t>
  </si>
  <si>
    <t>Eliecer Parada</t>
  </si>
  <si>
    <t>San Diego</t>
  </si>
  <si>
    <t>San Eugenio</t>
  </si>
  <si>
    <t>Juan de Pineda</t>
  </si>
  <si>
    <t>Santa Amalia</t>
  </si>
  <si>
    <t>Presidente Prieto</t>
  </si>
  <si>
    <t>Darío Urzúa</t>
  </si>
  <si>
    <t>Indice</t>
  </si>
  <si>
    <t>Suecia</t>
  </si>
  <si>
    <t>Mujica T2</t>
  </si>
  <si>
    <t>Mujica T1</t>
  </si>
  <si>
    <t>Corregido</t>
  </si>
  <si>
    <t>Villaseca (V0)</t>
  </si>
  <si>
    <t>Juan de Pineda (V0)</t>
  </si>
  <si>
    <t>Carmen Fariña</t>
  </si>
  <si>
    <t>Domingo Faustino S.</t>
  </si>
  <si>
    <t>Las Lilas Habitacional</t>
  </si>
  <si>
    <t>Las Lilas Oficinas</t>
  </si>
  <si>
    <t>Vista Costanera Torre A</t>
  </si>
  <si>
    <t>Padre Le Paige Torre B</t>
  </si>
  <si>
    <t>Edificio Franklin Torre A</t>
  </si>
  <si>
    <t>Montemar</t>
  </si>
  <si>
    <t>Alderete Torre A</t>
  </si>
  <si>
    <t>General del Canto</t>
  </si>
  <si>
    <t>Cinerarias</t>
  </si>
  <si>
    <t>Celia Solar</t>
  </si>
  <si>
    <t>Aldunate</t>
  </si>
  <si>
    <t>Vasco da Gama</t>
  </si>
  <si>
    <t>Millalongo</t>
  </si>
  <si>
    <t>Mon Amour</t>
  </si>
  <si>
    <t>Conjunto Olimpia 2</t>
  </si>
  <si>
    <t>Vicente Valdés 1 - Torre A</t>
  </si>
  <si>
    <t>Vicente Valdés 1 - Torre B</t>
  </si>
  <si>
    <t>Lyon - Almagro</t>
  </si>
  <si>
    <t>Carrera 4</t>
  </si>
  <si>
    <t xml:space="preserve">Hernando de Aguirre </t>
  </si>
  <si>
    <t>Plaza Almeyda II</t>
  </si>
  <si>
    <t>Vicente Valdés 2 - Torre A</t>
  </si>
  <si>
    <t>Vicente Valdés 2 - Torre B</t>
  </si>
  <si>
    <t>Vicente Valdés 2 - Torre C</t>
  </si>
  <si>
    <t>Vicente Valdés 2 - Torre D</t>
  </si>
  <si>
    <t>N°</t>
  </si>
  <si>
    <t>Z.S</t>
  </si>
  <si>
    <t>T.S</t>
  </si>
  <si>
    <t>Subt.</t>
  </si>
  <si>
    <t>Pisos</t>
  </si>
  <si>
    <t>B</t>
  </si>
  <si>
    <t>Calama</t>
  </si>
  <si>
    <t>E</t>
  </si>
  <si>
    <t>Los Gomeros</t>
  </si>
  <si>
    <t>Paula Jaraq.</t>
  </si>
  <si>
    <t>D</t>
  </si>
  <si>
    <t>Tocornal</t>
  </si>
  <si>
    <t>Talaveras</t>
  </si>
  <si>
    <t>Lyon Bustos</t>
  </si>
  <si>
    <t>Bartolo Soto</t>
  </si>
  <si>
    <t>Portugal</t>
  </si>
  <si>
    <t>C</t>
  </si>
  <si>
    <t>Freire</t>
  </si>
  <si>
    <t>Jose D Cañas</t>
  </si>
  <si>
    <t>Blest Gana</t>
  </si>
  <si>
    <t>Ocoa</t>
  </si>
  <si>
    <t>Nercasseaux</t>
  </si>
  <si>
    <t>Valencia</t>
  </si>
  <si>
    <t>Montenegro</t>
  </si>
  <si>
    <t>San Francisco</t>
  </si>
  <si>
    <t>Cap. Orella</t>
  </si>
  <si>
    <t>Tocornal 2</t>
  </si>
  <si>
    <t>San Joaquin</t>
  </si>
  <si>
    <t>Fund kg</t>
  </si>
  <si>
    <t>Muros kg</t>
  </si>
  <si>
    <t>Vigas kg</t>
  </si>
  <si>
    <t>Losas kg</t>
  </si>
  <si>
    <t>Escaleras kg</t>
  </si>
  <si>
    <t>Total kg</t>
  </si>
  <si>
    <t>Perimetrales kg</t>
  </si>
  <si>
    <t>Col Cuadradas kg</t>
  </si>
  <si>
    <t>Col Circulares Kg</t>
  </si>
  <si>
    <t>Hernando de Aguirre</t>
  </si>
  <si>
    <t xml:space="preserve">RANGOS DE CUANTIAS ESPERABLES </t>
  </si>
  <si>
    <t>(Kilos de Fierro (kg) / Superficie Edificio (M2))</t>
  </si>
  <si>
    <t>ZII - SB</t>
  </si>
  <si>
    <t>ZII - SC</t>
  </si>
  <si>
    <t>ZII-SD</t>
  </si>
  <si>
    <t>ZII-SE</t>
  </si>
  <si>
    <t>Cuantia Fundaciones</t>
  </si>
  <si>
    <t>0.5 - 1.5</t>
  </si>
  <si>
    <t>0.8 - 2.0</t>
  </si>
  <si>
    <t>2 - 8</t>
  </si>
  <si>
    <t>2 - 12</t>
  </si>
  <si>
    <t>Cuantia Muros</t>
  </si>
  <si>
    <t>11 - 14</t>
  </si>
  <si>
    <t>12 - 16</t>
  </si>
  <si>
    <t>13 - 17</t>
  </si>
  <si>
    <t>20 - 40</t>
  </si>
  <si>
    <t>Cuantia Vigas</t>
  </si>
  <si>
    <t>3 - 7</t>
  </si>
  <si>
    <t>4 - 8</t>
  </si>
  <si>
    <t>5 - 9</t>
  </si>
  <si>
    <t>Cuantia Losas</t>
  </si>
  <si>
    <t>10 - 16</t>
  </si>
  <si>
    <t>TOTAL</t>
  </si>
  <si>
    <t>25 - 38</t>
  </si>
  <si>
    <t>27 - 42</t>
  </si>
  <si>
    <t>30 - 50</t>
  </si>
  <si>
    <t>37 - 77</t>
  </si>
  <si>
    <t>Faltan Datos para estas estimaciones</t>
  </si>
  <si>
    <t>Postensado</t>
  </si>
  <si>
    <t>Losa Fundación</t>
  </si>
  <si>
    <r>
      <t>Fe/HA (kg/m</t>
    </r>
    <r>
      <rPr>
        <vertAlign val="super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)</t>
    </r>
  </si>
  <si>
    <r>
      <t>Fe/Sup (kg/m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)</t>
    </r>
  </si>
  <si>
    <r>
      <t>HA/Sup (m</t>
    </r>
    <r>
      <rPr>
        <vertAlign val="super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/m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)</t>
    </r>
  </si>
  <si>
    <t>Codigo</t>
  </si>
  <si>
    <t>Peso SI</t>
  </si>
  <si>
    <t>Volumen SI</t>
  </si>
  <si>
    <t>Area SI</t>
  </si>
  <si>
    <t>Indice SI</t>
  </si>
  <si>
    <t>Peso S1</t>
  </si>
  <si>
    <t>Volumen S1</t>
  </si>
  <si>
    <t>Área S1</t>
  </si>
  <si>
    <t>Indice S1</t>
  </si>
  <si>
    <t>Peso P1</t>
  </si>
  <si>
    <t>Volumen P1</t>
  </si>
  <si>
    <t>Área P1</t>
  </si>
  <si>
    <t>Indice P1</t>
  </si>
  <si>
    <t>Peso PT</t>
  </si>
  <si>
    <t>Volumen PT</t>
  </si>
  <si>
    <t>Área PT</t>
  </si>
  <si>
    <t>Indice PT</t>
  </si>
  <si>
    <t>Peso PS</t>
  </si>
  <si>
    <t>Volumen PS</t>
  </si>
  <si>
    <t>Área PS</t>
  </si>
  <si>
    <t>Indice PS</t>
  </si>
  <si>
    <t>Fe (kg)</t>
  </si>
  <si>
    <r>
      <t>HA (m</t>
    </r>
    <r>
      <rPr>
        <vertAlign val="super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)</t>
    </r>
  </si>
  <si>
    <r>
      <t>MLD (m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)</t>
    </r>
  </si>
  <si>
    <r>
      <t>Fund kg/m</t>
    </r>
    <r>
      <rPr>
        <vertAlign val="superscript"/>
        <sz val="11"/>
        <color theme="1"/>
        <rFont val="Calibri"/>
        <family val="2"/>
        <scheme val="minor"/>
      </rPr>
      <t>2</t>
    </r>
  </si>
  <si>
    <r>
      <t>Muros kg/m</t>
    </r>
    <r>
      <rPr>
        <vertAlign val="superscript"/>
        <sz val="11"/>
        <color theme="1"/>
        <rFont val="Calibri"/>
        <family val="2"/>
        <scheme val="minor"/>
      </rPr>
      <t>2</t>
    </r>
  </si>
  <si>
    <r>
      <t>Perimetrales kg/m</t>
    </r>
    <r>
      <rPr>
        <vertAlign val="superscript"/>
        <sz val="11"/>
        <color theme="1"/>
        <rFont val="Calibri"/>
        <family val="2"/>
        <scheme val="minor"/>
      </rPr>
      <t>2</t>
    </r>
  </si>
  <si>
    <r>
      <t>Vigas kg/m</t>
    </r>
    <r>
      <rPr>
        <vertAlign val="superscript"/>
        <sz val="11"/>
        <color theme="1"/>
        <rFont val="Calibri"/>
        <family val="2"/>
        <scheme val="minor"/>
      </rPr>
      <t>2</t>
    </r>
  </si>
  <si>
    <r>
      <t>Losas kg/m</t>
    </r>
    <r>
      <rPr>
        <vertAlign val="superscript"/>
        <sz val="11"/>
        <color theme="1"/>
        <rFont val="Calibri"/>
        <family val="2"/>
        <scheme val="minor"/>
      </rPr>
      <t>2</t>
    </r>
  </si>
  <si>
    <r>
      <t>Fund kg/m</t>
    </r>
    <r>
      <rPr>
        <vertAlign val="superscript"/>
        <sz val="11"/>
        <color theme="1"/>
        <rFont val="Calibri"/>
        <family val="2"/>
        <scheme val="minor"/>
      </rPr>
      <t>3</t>
    </r>
  </si>
  <si>
    <r>
      <t>Muros kg/m</t>
    </r>
    <r>
      <rPr>
        <vertAlign val="superscript"/>
        <sz val="11"/>
        <color theme="1"/>
        <rFont val="Calibri"/>
        <family val="2"/>
        <scheme val="minor"/>
      </rPr>
      <t>3</t>
    </r>
  </si>
  <si>
    <r>
      <t>Perimetrales kg/m</t>
    </r>
    <r>
      <rPr>
        <vertAlign val="superscript"/>
        <sz val="11"/>
        <color theme="1"/>
        <rFont val="Calibri"/>
        <family val="2"/>
        <scheme val="minor"/>
      </rPr>
      <t>3</t>
    </r>
  </si>
  <si>
    <r>
      <t>Vigas kg/m</t>
    </r>
    <r>
      <rPr>
        <vertAlign val="superscript"/>
        <sz val="11"/>
        <color theme="1"/>
        <rFont val="Calibri"/>
        <family val="2"/>
        <scheme val="minor"/>
      </rPr>
      <t>3</t>
    </r>
  </si>
  <si>
    <r>
      <t>Losas kg/m</t>
    </r>
    <r>
      <rPr>
        <vertAlign val="superscript"/>
        <sz val="11"/>
        <color theme="1"/>
        <rFont val="Calibri"/>
        <family val="2"/>
        <scheme val="minor"/>
      </rPr>
      <t>3</t>
    </r>
  </si>
  <si>
    <t>Si</t>
  </si>
  <si>
    <r>
      <t>HA/MLD (m</t>
    </r>
    <r>
      <rPr>
        <vertAlign val="super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/m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)</t>
    </r>
  </si>
  <si>
    <r>
      <t>Fund m</t>
    </r>
    <r>
      <rPr>
        <vertAlign val="super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/m</t>
    </r>
    <r>
      <rPr>
        <vertAlign val="superscript"/>
        <sz val="11"/>
        <color theme="1"/>
        <rFont val="Calibri"/>
        <family val="2"/>
        <scheme val="minor"/>
      </rPr>
      <t>2</t>
    </r>
  </si>
  <si>
    <r>
      <t>Muros m</t>
    </r>
    <r>
      <rPr>
        <vertAlign val="super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/m</t>
    </r>
    <r>
      <rPr>
        <vertAlign val="superscript"/>
        <sz val="11"/>
        <color theme="1"/>
        <rFont val="Calibri"/>
        <family val="2"/>
        <scheme val="minor"/>
      </rPr>
      <t>2</t>
    </r>
  </si>
  <si>
    <r>
      <t>Perimetrales m</t>
    </r>
    <r>
      <rPr>
        <vertAlign val="super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/m</t>
    </r>
    <r>
      <rPr>
        <vertAlign val="superscript"/>
        <sz val="11"/>
        <color theme="1"/>
        <rFont val="Calibri"/>
        <family val="2"/>
        <scheme val="minor"/>
      </rPr>
      <t>2</t>
    </r>
  </si>
  <si>
    <r>
      <t>Vigas m</t>
    </r>
    <r>
      <rPr>
        <vertAlign val="super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/m</t>
    </r>
    <r>
      <rPr>
        <vertAlign val="superscript"/>
        <sz val="11"/>
        <color theme="1"/>
        <rFont val="Calibri"/>
        <family val="2"/>
        <scheme val="minor"/>
      </rPr>
      <t>2</t>
    </r>
  </si>
  <si>
    <r>
      <t>Losas m</t>
    </r>
    <r>
      <rPr>
        <vertAlign val="super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/m</t>
    </r>
    <r>
      <rPr>
        <vertAlign val="superscript"/>
        <sz val="11"/>
        <color theme="1"/>
        <rFont val="Calibri"/>
        <family val="2"/>
        <scheme val="minor"/>
      </rPr>
      <t>2</t>
    </r>
  </si>
  <si>
    <t>Mínimo</t>
  </si>
  <si>
    <t>Máximo</t>
  </si>
  <si>
    <t>Promedio</t>
  </si>
  <si>
    <t>Desv. Estándar</t>
  </si>
  <si>
    <r>
      <t>MLD/Sup (m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/m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)</t>
    </r>
  </si>
  <si>
    <t>Versión CBC</t>
  </si>
  <si>
    <t>Preliminar</t>
  </si>
  <si>
    <t>APC</t>
  </si>
  <si>
    <t>No</t>
  </si>
  <si>
    <t>Postensado kg</t>
  </si>
  <si>
    <t>Grua kg</t>
  </si>
  <si>
    <r>
      <t>Grua kg/m</t>
    </r>
    <r>
      <rPr>
        <vertAlign val="superscript"/>
        <sz val="11"/>
        <color theme="1"/>
        <rFont val="Calibri"/>
        <family val="2"/>
        <scheme val="minor"/>
      </rPr>
      <t>3</t>
    </r>
  </si>
  <si>
    <r>
      <t>Muro LyF m</t>
    </r>
    <r>
      <rPr>
        <vertAlign val="super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/m</t>
    </r>
    <r>
      <rPr>
        <vertAlign val="superscript"/>
        <sz val="11"/>
        <color theme="1"/>
        <rFont val="Calibri"/>
        <family val="2"/>
        <scheme val="minor"/>
      </rPr>
      <t>2</t>
    </r>
  </si>
  <si>
    <r>
      <t>Fund L m</t>
    </r>
    <r>
      <rPr>
        <vertAlign val="super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/m</t>
    </r>
    <r>
      <rPr>
        <vertAlign val="superscript"/>
        <sz val="11"/>
        <color theme="1"/>
        <rFont val="Calibri"/>
        <family val="2"/>
        <scheme val="minor"/>
      </rPr>
      <t>2</t>
    </r>
  </si>
  <si>
    <r>
      <t>Viga LyF m</t>
    </r>
    <r>
      <rPr>
        <vertAlign val="super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/m</t>
    </r>
    <r>
      <rPr>
        <vertAlign val="superscript"/>
        <sz val="11"/>
        <color theme="1"/>
        <rFont val="Calibri"/>
        <family val="2"/>
        <scheme val="minor"/>
      </rPr>
      <t>2</t>
    </r>
  </si>
  <si>
    <r>
      <t>Losa LyF m</t>
    </r>
    <r>
      <rPr>
        <vertAlign val="super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/m</t>
    </r>
    <r>
      <rPr>
        <vertAlign val="superscript"/>
        <sz val="11"/>
        <color theme="1"/>
        <rFont val="Calibri"/>
        <family val="2"/>
        <scheme val="minor"/>
      </rPr>
      <t>2</t>
    </r>
  </si>
  <si>
    <r>
      <t>Fund L m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/m</t>
    </r>
    <r>
      <rPr>
        <vertAlign val="superscript"/>
        <sz val="11"/>
        <color theme="1"/>
        <rFont val="Calibri"/>
        <family val="2"/>
        <scheme val="minor"/>
      </rPr>
      <t>2</t>
    </r>
  </si>
  <si>
    <r>
      <t>Muro LyF m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/m</t>
    </r>
    <r>
      <rPr>
        <vertAlign val="superscript"/>
        <sz val="11"/>
        <color theme="1"/>
        <rFont val="Calibri"/>
        <family val="2"/>
        <scheme val="minor"/>
      </rPr>
      <t>2</t>
    </r>
  </si>
  <si>
    <r>
      <t>Viga LyF m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/m</t>
    </r>
    <r>
      <rPr>
        <vertAlign val="superscript"/>
        <sz val="11"/>
        <color theme="1"/>
        <rFont val="Calibri"/>
        <family val="2"/>
        <scheme val="minor"/>
      </rPr>
      <t>2</t>
    </r>
  </si>
  <si>
    <r>
      <t>Losa LyF m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/m</t>
    </r>
    <r>
      <rPr>
        <vertAlign val="superscript"/>
        <sz val="11"/>
        <color theme="1"/>
        <rFont val="Calibri"/>
        <family val="2"/>
        <scheme val="minor"/>
      </rPr>
      <t>2</t>
    </r>
  </si>
  <si>
    <t/>
  </si>
  <si>
    <r>
      <t>Fund m</t>
    </r>
    <r>
      <rPr>
        <b/>
        <vertAlign val="superscript"/>
        <sz val="11"/>
        <color theme="1"/>
        <rFont val="Calibri"/>
        <family val="2"/>
        <scheme val="minor"/>
      </rPr>
      <t>3</t>
    </r>
  </si>
  <si>
    <r>
      <t>Grua m</t>
    </r>
    <r>
      <rPr>
        <b/>
        <vertAlign val="superscript"/>
        <sz val="11"/>
        <color theme="1"/>
        <rFont val="Calibri"/>
        <family val="2"/>
        <scheme val="minor"/>
      </rPr>
      <t>3</t>
    </r>
  </si>
  <si>
    <r>
      <t>Muros m</t>
    </r>
    <r>
      <rPr>
        <b/>
        <vertAlign val="superscript"/>
        <sz val="11"/>
        <color theme="1"/>
        <rFont val="Calibri"/>
        <family val="2"/>
        <scheme val="minor"/>
      </rPr>
      <t>3</t>
    </r>
  </si>
  <si>
    <r>
      <t>Muros Int m</t>
    </r>
    <r>
      <rPr>
        <b/>
        <vertAlign val="superscript"/>
        <sz val="11"/>
        <color theme="1"/>
        <rFont val="Calibri"/>
        <family val="2"/>
        <scheme val="minor"/>
      </rPr>
      <t>3</t>
    </r>
  </si>
  <si>
    <r>
      <t>Perimetrales m</t>
    </r>
    <r>
      <rPr>
        <b/>
        <vertAlign val="superscript"/>
        <sz val="11"/>
        <color theme="1"/>
        <rFont val="Calibri"/>
        <family val="2"/>
        <scheme val="minor"/>
      </rPr>
      <t>3</t>
    </r>
  </si>
  <si>
    <r>
      <t>Vigas m</t>
    </r>
    <r>
      <rPr>
        <b/>
        <vertAlign val="superscript"/>
        <sz val="11"/>
        <color theme="1"/>
        <rFont val="Calibri"/>
        <family val="2"/>
        <scheme val="minor"/>
      </rPr>
      <t>3</t>
    </r>
  </si>
  <si>
    <r>
      <t>Col Circulares m</t>
    </r>
    <r>
      <rPr>
        <b/>
        <vertAlign val="superscript"/>
        <sz val="11"/>
        <color theme="1"/>
        <rFont val="Calibri"/>
        <family val="2"/>
        <scheme val="minor"/>
      </rPr>
      <t>3</t>
    </r>
  </si>
  <si>
    <r>
      <t>Col Cuadradas m</t>
    </r>
    <r>
      <rPr>
        <b/>
        <vertAlign val="superscript"/>
        <sz val="11"/>
        <color theme="1"/>
        <rFont val="Calibri"/>
        <family val="2"/>
        <scheme val="minor"/>
      </rPr>
      <t>3</t>
    </r>
  </si>
  <si>
    <r>
      <t>Losas m</t>
    </r>
    <r>
      <rPr>
        <b/>
        <vertAlign val="superscript"/>
        <sz val="11"/>
        <color theme="1"/>
        <rFont val="Calibri"/>
        <family val="2"/>
        <scheme val="minor"/>
      </rPr>
      <t>3</t>
    </r>
  </si>
  <si>
    <r>
      <t>Escaleras m</t>
    </r>
    <r>
      <rPr>
        <b/>
        <vertAlign val="superscript"/>
        <sz val="11"/>
        <color theme="1"/>
        <rFont val="Calibri"/>
        <family val="2"/>
        <scheme val="minor"/>
      </rPr>
      <t>3</t>
    </r>
  </si>
  <si>
    <r>
      <t>Total m</t>
    </r>
    <r>
      <rPr>
        <b/>
        <vertAlign val="superscript"/>
        <sz val="11"/>
        <color theme="1"/>
        <rFont val="Calibri"/>
        <family val="2"/>
        <scheme val="minor"/>
      </rPr>
      <t>3</t>
    </r>
  </si>
  <si>
    <r>
      <t>Superficie m</t>
    </r>
    <r>
      <rPr>
        <vertAlign val="superscript"/>
        <sz val="11"/>
        <color theme="1"/>
        <rFont val="Calibri"/>
        <family val="2"/>
        <scheme val="minor"/>
      </rPr>
      <t>2</t>
    </r>
  </si>
  <si>
    <r>
      <t>Superficie m</t>
    </r>
    <r>
      <rPr>
        <b/>
        <vertAlign val="superscript"/>
        <sz val="11"/>
        <color theme="1"/>
        <rFont val="Calibri"/>
        <family val="2"/>
        <scheme val="minor"/>
      </rPr>
      <t>2</t>
    </r>
  </si>
  <si>
    <r>
      <t>Fund m</t>
    </r>
    <r>
      <rPr>
        <b/>
        <vertAlign val="superscript"/>
        <sz val="11"/>
        <color theme="1"/>
        <rFont val="Calibri"/>
        <family val="2"/>
        <scheme val="minor"/>
      </rPr>
      <t>3</t>
    </r>
    <r>
      <rPr>
        <b/>
        <sz val="11"/>
        <color theme="1"/>
        <rFont val="Calibri"/>
        <family val="2"/>
        <scheme val="minor"/>
      </rPr>
      <t>/m</t>
    </r>
    <r>
      <rPr>
        <b/>
        <vertAlign val="superscript"/>
        <sz val="11"/>
        <color theme="1"/>
        <rFont val="Calibri"/>
        <family val="2"/>
        <scheme val="minor"/>
      </rPr>
      <t>2</t>
    </r>
  </si>
  <si>
    <r>
      <t>Muros m</t>
    </r>
    <r>
      <rPr>
        <b/>
        <vertAlign val="superscript"/>
        <sz val="11"/>
        <color theme="1"/>
        <rFont val="Calibri"/>
        <family val="2"/>
        <scheme val="minor"/>
      </rPr>
      <t>3</t>
    </r>
    <r>
      <rPr>
        <b/>
        <sz val="11"/>
        <color theme="1"/>
        <rFont val="Calibri"/>
        <family val="2"/>
        <scheme val="minor"/>
      </rPr>
      <t>/m</t>
    </r>
    <r>
      <rPr>
        <b/>
        <vertAlign val="superscript"/>
        <sz val="11"/>
        <color theme="1"/>
        <rFont val="Calibri"/>
        <family val="2"/>
        <scheme val="minor"/>
      </rPr>
      <t>2</t>
    </r>
  </si>
  <si>
    <r>
      <t>Muros Int m</t>
    </r>
    <r>
      <rPr>
        <b/>
        <vertAlign val="superscript"/>
        <sz val="11"/>
        <color theme="1"/>
        <rFont val="Calibri"/>
        <family val="2"/>
        <scheme val="minor"/>
      </rPr>
      <t>3</t>
    </r>
    <r>
      <rPr>
        <b/>
        <sz val="11"/>
        <color theme="1"/>
        <rFont val="Calibri"/>
        <family val="2"/>
        <scheme val="minor"/>
      </rPr>
      <t>/m</t>
    </r>
    <r>
      <rPr>
        <b/>
        <vertAlign val="superscript"/>
        <sz val="11"/>
        <color theme="1"/>
        <rFont val="Calibri"/>
        <family val="2"/>
        <scheme val="minor"/>
      </rPr>
      <t>2</t>
    </r>
  </si>
  <si>
    <r>
      <t>Perimetrales m</t>
    </r>
    <r>
      <rPr>
        <b/>
        <vertAlign val="superscript"/>
        <sz val="11"/>
        <color theme="1"/>
        <rFont val="Calibri"/>
        <family val="2"/>
        <scheme val="minor"/>
      </rPr>
      <t>3</t>
    </r>
    <r>
      <rPr>
        <b/>
        <sz val="11"/>
        <color theme="1"/>
        <rFont val="Calibri"/>
        <family val="2"/>
        <scheme val="minor"/>
      </rPr>
      <t>/m</t>
    </r>
    <r>
      <rPr>
        <b/>
        <vertAlign val="superscript"/>
        <sz val="11"/>
        <color theme="1"/>
        <rFont val="Calibri"/>
        <family val="2"/>
        <scheme val="minor"/>
      </rPr>
      <t>2</t>
    </r>
  </si>
  <si>
    <r>
      <t>Vigas m</t>
    </r>
    <r>
      <rPr>
        <b/>
        <vertAlign val="superscript"/>
        <sz val="11"/>
        <color theme="1"/>
        <rFont val="Calibri"/>
        <family val="2"/>
        <scheme val="minor"/>
      </rPr>
      <t>3</t>
    </r>
    <r>
      <rPr>
        <b/>
        <sz val="11"/>
        <color theme="1"/>
        <rFont val="Calibri"/>
        <family val="2"/>
        <scheme val="minor"/>
      </rPr>
      <t>/m</t>
    </r>
    <r>
      <rPr>
        <b/>
        <vertAlign val="superscript"/>
        <sz val="11"/>
        <color theme="1"/>
        <rFont val="Calibri"/>
        <family val="2"/>
        <scheme val="minor"/>
      </rPr>
      <t>2</t>
    </r>
  </si>
  <si>
    <r>
      <t>Losas m</t>
    </r>
    <r>
      <rPr>
        <b/>
        <vertAlign val="superscript"/>
        <sz val="11"/>
        <color theme="1"/>
        <rFont val="Calibri"/>
        <family val="2"/>
        <scheme val="minor"/>
      </rPr>
      <t>3</t>
    </r>
    <r>
      <rPr>
        <b/>
        <sz val="11"/>
        <color theme="1"/>
        <rFont val="Calibri"/>
        <family val="2"/>
        <scheme val="minor"/>
      </rPr>
      <t>/m</t>
    </r>
    <r>
      <rPr>
        <b/>
        <vertAlign val="superscript"/>
        <sz val="11"/>
        <color theme="1"/>
        <rFont val="Calibri"/>
        <family val="2"/>
        <scheme val="minor"/>
      </rPr>
      <t>2</t>
    </r>
  </si>
  <si>
    <r>
      <t>Total m</t>
    </r>
    <r>
      <rPr>
        <b/>
        <vertAlign val="superscript"/>
        <sz val="11"/>
        <color theme="1"/>
        <rFont val="Calibri"/>
        <family val="2"/>
        <scheme val="minor"/>
      </rPr>
      <t>3</t>
    </r>
    <r>
      <rPr>
        <b/>
        <sz val="11"/>
        <color theme="1"/>
        <rFont val="Calibri"/>
        <family val="2"/>
        <scheme val="minor"/>
      </rPr>
      <t>/m</t>
    </r>
    <r>
      <rPr>
        <b/>
        <vertAlign val="superscript"/>
        <sz val="11"/>
        <color theme="1"/>
        <rFont val="Calibri"/>
        <family val="2"/>
        <scheme val="minor"/>
      </rPr>
      <t>2</t>
    </r>
  </si>
  <si>
    <r>
      <t>Fund kg/m</t>
    </r>
    <r>
      <rPr>
        <b/>
        <vertAlign val="superscript"/>
        <sz val="11"/>
        <color theme="1"/>
        <rFont val="Calibri"/>
        <family val="2"/>
        <scheme val="minor"/>
      </rPr>
      <t>2</t>
    </r>
  </si>
  <si>
    <r>
      <t>Muros kg/m</t>
    </r>
    <r>
      <rPr>
        <b/>
        <vertAlign val="superscript"/>
        <sz val="11"/>
        <color theme="1"/>
        <rFont val="Calibri"/>
        <family val="2"/>
        <scheme val="minor"/>
      </rPr>
      <t>2</t>
    </r>
  </si>
  <si>
    <r>
      <t>Perimetrales kg/m</t>
    </r>
    <r>
      <rPr>
        <b/>
        <vertAlign val="superscript"/>
        <sz val="11"/>
        <color theme="1"/>
        <rFont val="Calibri"/>
        <family val="2"/>
        <scheme val="minor"/>
      </rPr>
      <t>2</t>
    </r>
  </si>
  <si>
    <r>
      <t>Vigas kg/m</t>
    </r>
    <r>
      <rPr>
        <b/>
        <vertAlign val="superscript"/>
        <sz val="11"/>
        <color theme="1"/>
        <rFont val="Calibri"/>
        <family val="2"/>
        <scheme val="minor"/>
      </rPr>
      <t>2</t>
    </r>
  </si>
  <si>
    <r>
      <t>Losas kg/m</t>
    </r>
    <r>
      <rPr>
        <b/>
        <vertAlign val="superscript"/>
        <sz val="11"/>
        <color theme="1"/>
        <rFont val="Calibri"/>
        <family val="2"/>
        <scheme val="minor"/>
      </rPr>
      <t>2</t>
    </r>
  </si>
  <si>
    <r>
      <t>Total kg/m</t>
    </r>
    <r>
      <rPr>
        <b/>
        <vertAlign val="superscript"/>
        <sz val="11"/>
        <color theme="1"/>
        <rFont val="Calibri"/>
        <family val="2"/>
        <scheme val="minor"/>
      </rPr>
      <t>2</t>
    </r>
  </si>
  <si>
    <r>
      <t>Fund Lat m</t>
    </r>
    <r>
      <rPr>
        <b/>
        <vertAlign val="superscript"/>
        <sz val="11"/>
        <color theme="1"/>
        <rFont val="Calibri"/>
        <family val="2"/>
        <scheme val="minor"/>
      </rPr>
      <t>2</t>
    </r>
  </si>
  <si>
    <r>
      <t>Grua m</t>
    </r>
    <r>
      <rPr>
        <b/>
        <vertAlign val="superscript"/>
        <sz val="11"/>
        <color theme="1"/>
        <rFont val="Calibri"/>
        <family val="2"/>
        <scheme val="minor"/>
      </rPr>
      <t>2</t>
    </r>
  </si>
  <si>
    <r>
      <t>Muro m</t>
    </r>
    <r>
      <rPr>
        <b/>
        <vertAlign val="superscript"/>
        <sz val="11"/>
        <color theme="1"/>
        <rFont val="Calibri"/>
        <family val="2"/>
        <scheme val="minor"/>
      </rPr>
      <t>2</t>
    </r>
  </si>
  <si>
    <r>
      <t>Viga Lat m</t>
    </r>
    <r>
      <rPr>
        <b/>
        <vertAlign val="superscript"/>
        <sz val="11"/>
        <color theme="1"/>
        <rFont val="Calibri"/>
        <family val="2"/>
        <scheme val="minor"/>
      </rPr>
      <t>2</t>
    </r>
  </si>
  <si>
    <r>
      <t>Viga Fondo m</t>
    </r>
    <r>
      <rPr>
        <b/>
        <vertAlign val="superscript"/>
        <sz val="11"/>
        <color theme="1"/>
        <rFont val="Calibri"/>
        <family val="2"/>
        <scheme val="minor"/>
      </rPr>
      <t>2</t>
    </r>
  </si>
  <si>
    <r>
      <t>Col Circular m</t>
    </r>
    <r>
      <rPr>
        <b/>
        <vertAlign val="superscript"/>
        <sz val="11"/>
        <color theme="1"/>
        <rFont val="Calibri"/>
        <family val="2"/>
        <scheme val="minor"/>
      </rPr>
      <t>2</t>
    </r>
  </si>
  <si>
    <r>
      <t>Col Cuadrada m</t>
    </r>
    <r>
      <rPr>
        <b/>
        <vertAlign val="superscript"/>
        <sz val="11"/>
        <color theme="1"/>
        <rFont val="Calibri"/>
        <family val="2"/>
        <scheme val="minor"/>
      </rPr>
      <t>2</t>
    </r>
  </si>
  <si>
    <r>
      <t>Losa Fondo m</t>
    </r>
    <r>
      <rPr>
        <b/>
        <vertAlign val="superscript"/>
        <sz val="11"/>
        <color theme="1"/>
        <rFont val="Calibri"/>
        <family val="2"/>
        <scheme val="minor"/>
      </rPr>
      <t>2</t>
    </r>
  </si>
  <si>
    <r>
      <t>Rebalse m</t>
    </r>
    <r>
      <rPr>
        <b/>
        <vertAlign val="superscript"/>
        <sz val="11"/>
        <color theme="1"/>
        <rFont val="Calibri"/>
        <family val="2"/>
        <scheme val="minor"/>
      </rPr>
      <t>2</t>
    </r>
  </si>
  <si>
    <r>
      <t>Escalera m</t>
    </r>
    <r>
      <rPr>
        <b/>
        <vertAlign val="superscript"/>
        <sz val="11"/>
        <color theme="1"/>
        <rFont val="Calibri"/>
        <family val="2"/>
        <scheme val="minor"/>
      </rPr>
      <t>2</t>
    </r>
  </si>
  <si>
    <r>
      <t>Total m</t>
    </r>
    <r>
      <rPr>
        <b/>
        <vertAlign val="superscript"/>
        <sz val="11"/>
        <color theme="1"/>
        <rFont val="Calibri"/>
        <family val="2"/>
        <scheme val="minor"/>
      </rPr>
      <t>2</t>
    </r>
  </si>
  <si>
    <t>Proyectos</t>
  </si>
  <si>
    <t>Suárez Mujica</t>
  </si>
  <si>
    <t>Cierros kg</t>
  </si>
  <si>
    <r>
      <t>Cierro m</t>
    </r>
    <r>
      <rPr>
        <b/>
        <vertAlign val="superscript"/>
        <sz val="11"/>
        <color theme="1"/>
        <rFont val="Calibri"/>
        <family val="2"/>
        <scheme val="minor"/>
      </rPr>
      <t>3</t>
    </r>
  </si>
  <si>
    <t>Edificio 5 La Granja</t>
  </si>
  <si>
    <t>Inmobiliaria</t>
  </si>
  <si>
    <t>Edificio 6 La Granja</t>
  </si>
  <si>
    <t>Boetsch</t>
  </si>
  <si>
    <t>Alderete Cook - Torre B</t>
  </si>
  <si>
    <t>Almagro</t>
  </si>
  <si>
    <t>Imagina</t>
  </si>
  <si>
    <t>Bello Horizonte</t>
  </si>
  <si>
    <t>Almahue</t>
  </si>
  <si>
    <t>Bello Horizonte II</t>
  </si>
  <si>
    <t>Brotec</t>
  </si>
  <si>
    <t>Viva</t>
  </si>
  <si>
    <t>Box</t>
  </si>
  <si>
    <t>Impulsa</t>
  </si>
  <si>
    <t>Fundamenta</t>
  </si>
  <si>
    <t>Plaza Almeyda</t>
  </si>
  <si>
    <t>Fai</t>
  </si>
  <si>
    <t>Pebal</t>
  </si>
  <si>
    <t>Maestra</t>
  </si>
  <si>
    <t>Socovesa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</si>
</sst>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 * #,##0.00_ ;_ * \-#,##0.00_ ;_ * &quot;-&quot;??_ ;_ @_ "/>
    <numFmt numFmtId="164" formatCode="0.0"/>
    <numFmt numFmtId="165" formatCode="_ * #,##0.0_ ;_ * \-#,##0.0_ ;_ * &quot;-&quot;_ ;_ @_ 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b/>
      <vertAlign val="superscript"/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-0.249977111117893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22">
    <xf numFmtId="0" fontId="0" fillId="0" borderId="0" xfId="0"/>
    <xf numFmtId="164" fontId="0" fillId="0" borderId="0" xfId="0" applyNumberFormat="1" applyAlignment="1">
      <alignment horizontal="right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0" fillId="0" borderId="0" xfId="0" applyAlignment="1">
      <alignment horizontal="right" vertical="center"/>
    </xf>
    <xf numFmtId="0" fontId="1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0" fontId="1" fillId="0" borderId="0" xfId="0" applyFont="1"/>
    <xf numFmtId="0" fontId="1" fillId="0" borderId="1" xfId="0" applyFont="1" applyBorder="1" applyAlignment="1">
      <alignment horizontal="center"/>
    </xf>
    <xf numFmtId="0" fontId="0" fillId="0" borderId="2" xfId="0" applyBorder="1"/>
    <xf numFmtId="0" fontId="0" fillId="0" borderId="1" xfId="0" applyBorder="1" applyAlignment="1">
      <alignment horizontal="center"/>
    </xf>
    <xf numFmtId="0" fontId="0" fillId="2" borderId="1" xfId="0" applyFill="1" applyBorder="1" applyAlignment="1">
      <alignment horizontal="center"/>
    </xf>
    <xf numFmtId="16" fontId="0" fillId="2" borderId="1" xfId="0" quotePrefix="1" applyNumberFormat="1" applyFill="1" applyBorder="1" applyAlignment="1">
      <alignment horizontal="center"/>
    </xf>
    <xf numFmtId="17" fontId="0" fillId="0" borderId="1" xfId="0" quotePrefix="1" applyNumberFormat="1" applyBorder="1" applyAlignment="1">
      <alignment horizontal="center"/>
    </xf>
    <xf numFmtId="17" fontId="0" fillId="2" borderId="1" xfId="0" quotePrefix="1" applyNumberFormat="1" applyFill="1" applyBorder="1" applyAlignment="1">
      <alignment horizontal="center"/>
    </xf>
    <xf numFmtId="0" fontId="0" fillId="0" borderId="1" xfId="0" quotePrefix="1" applyBorder="1" applyAlignment="1">
      <alignment horizontal="center"/>
    </xf>
    <xf numFmtId="0" fontId="0" fillId="2" borderId="1" xfId="0" quotePrefix="1" applyFill="1" applyBorder="1" applyAlignment="1">
      <alignment horizontal="center"/>
    </xf>
    <xf numFmtId="16" fontId="0" fillId="0" borderId="1" xfId="0" quotePrefix="1" applyNumberFormat="1" applyBorder="1" applyAlignment="1">
      <alignment horizontal="center"/>
    </xf>
    <xf numFmtId="0" fontId="2" fillId="0" borderId="2" xfId="0" applyFont="1" applyBorder="1"/>
    <xf numFmtId="0" fontId="2" fillId="0" borderId="1" xfId="0" quotePrefix="1" applyFont="1" applyBorder="1" applyAlignment="1">
      <alignment horizontal="center"/>
    </xf>
    <xf numFmtId="0" fontId="2" fillId="2" borderId="3" xfId="0" quotePrefix="1" applyFont="1" applyFill="1" applyBorder="1" applyAlignment="1">
      <alignment horizontal="center"/>
    </xf>
    <xf numFmtId="43" fontId="0" fillId="0" borderId="0" xfId="0" applyNumberFormat="1" applyAlignment="1">
      <alignment vertical="center"/>
    </xf>
    <xf numFmtId="0" fontId="1" fillId="0" borderId="0" xfId="0" applyFont="1" applyAlignment="1">
      <alignment horizontal="left"/>
    </xf>
    <xf numFmtId="0" fontId="1" fillId="4" borderId="0" xfId="0" applyFont="1" applyFill="1" applyAlignment="1">
      <alignment horizontal="left"/>
    </xf>
    <xf numFmtId="0" fontId="1" fillId="3" borderId="0" xfId="0" applyFont="1" applyFill="1" applyAlignment="1">
      <alignment horizontal="left"/>
    </xf>
    <xf numFmtId="165" fontId="0" fillId="0" borderId="0" xfId="0" applyNumberFormat="1" applyAlignment="1">
      <alignment horizontal="center"/>
    </xf>
    <xf numFmtId="165" fontId="0" fillId="0" borderId="0" xfId="0" applyNumberFormat="1"/>
    <xf numFmtId="0" fontId="1" fillId="4" borderId="0" xfId="0" applyFont="1" applyFill="1" applyAlignment="1">
      <alignment horizontal="left" vertical="center"/>
    </xf>
    <xf numFmtId="0" fontId="1" fillId="3" borderId="0" xfId="0" applyFont="1" applyFill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165" fontId="0" fillId="0" borderId="0" xfId="0" applyNumberFormat="1" applyAlignment="1">
      <alignment horizontal="right" vertical="center"/>
    </xf>
    <xf numFmtId="165" fontId="0" fillId="0" borderId="0" xfId="0" applyNumberFormat="1" applyAlignment="1">
      <alignment vertical="center"/>
    </xf>
    <xf numFmtId="1" fontId="0" fillId="0" borderId="0" xfId="0" applyNumberFormat="1" applyAlignment="1">
      <alignment horizontal="center" vertical="center"/>
    </xf>
    <xf numFmtId="165" fontId="0" fillId="0" borderId="0" xfId="0" applyNumberFormat="1" applyAlignment="1">
      <alignment horizontal="left" vertical="center"/>
    </xf>
    <xf numFmtId="0" fontId="1" fillId="3" borderId="7" xfId="0" applyFont="1" applyFill="1" applyBorder="1" applyAlignment="1">
      <alignment horizontal="left" vertical="center"/>
    </xf>
    <xf numFmtId="0" fontId="0" fillId="0" borderId="4" xfId="0" applyBorder="1" applyAlignment="1">
      <alignment horizontal="left" vertical="center" wrapText="1"/>
    </xf>
    <xf numFmtId="0" fontId="0" fillId="0" borderId="5" xfId="0" applyBorder="1" applyAlignment="1">
      <alignment horizontal="left" vertical="center" wrapText="1"/>
    </xf>
    <xf numFmtId="0" fontId="0" fillId="0" borderId="6" xfId="0" applyBorder="1" applyAlignment="1">
      <alignment horizontal="left" vertical="center" wrapText="1"/>
    </xf>
    <xf numFmtId="0" fontId="0" fillId="3" borderId="4" xfId="0" applyFill="1" applyBorder="1" applyAlignment="1">
      <alignment horizontal="left" vertical="center" wrapText="1"/>
    </xf>
    <xf numFmtId="0" fontId="0" fillId="3" borderId="5" xfId="0" applyFill="1" applyBorder="1" applyAlignment="1">
      <alignment horizontal="left" vertical="center" wrapText="1"/>
    </xf>
    <xf numFmtId="0" fontId="0" fillId="3" borderId="6" xfId="0" applyFill="1" applyBorder="1" applyAlignment="1">
      <alignment horizontal="left" vertical="center" wrapText="1"/>
    </xf>
    <xf numFmtId="1" fontId="0" fillId="0" borderId="9" xfId="0" applyNumberFormat="1" applyBorder="1" applyAlignment="1">
      <alignment horizontal="center" vertical="center"/>
    </xf>
    <xf numFmtId="0" fontId="0" fillId="0" borderId="10" xfId="0" applyBorder="1" applyAlignment="1">
      <alignment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vertical="center"/>
    </xf>
    <xf numFmtId="165" fontId="0" fillId="0" borderId="11" xfId="0" applyNumberFormat="1" applyBorder="1" applyAlignment="1">
      <alignment vertical="center"/>
    </xf>
    <xf numFmtId="165" fontId="0" fillId="0" borderId="12" xfId="0" applyNumberFormat="1" applyBorder="1" applyAlignment="1">
      <alignment vertical="center"/>
    </xf>
    <xf numFmtId="43" fontId="0" fillId="0" borderId="11" xfId="0" applyNumberFormat="1" applyBorder="1" applyAlignment="1">
      <alignment vertical="center"/>
    </xf>
    <xf numFmtId="43" fontId="0" fillId="0" borderId="12" xfId="0" applyNumberFormat="1" applyBorder="1" applyAlignment="1">
      <alignment vertical="center"/>
    </xf>
    <xf numFmtId="1" fontId="0" fillId="0" borderId="8" xfId="0" applyNumberFormat="1" applyBorder="1" applyAlignment="1">
      <alignment horizontal="center" vertical="center"/>
    </xf>
    <xf numFmtId="1" fontId="0" fillId="0" borderId="11" xfId="0" applyNumberFormat="1" applyBorder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165" fontId="0" fillId="5" borderId="13" xfId="0" applyNumberFormat="1" applyFill="1" applyBorder="1" applyAlignment="1">
      <alignment vertical="center"/>
    </xf>
    <xf numFmtId="165" fontId="0" fillId="5" borderId="14" xfId="0" applyNumberFormat="1" applyFill="1" applyBorder="1" applyAlignment="1">
      <alignment vertical="center"/>
    </xf>
    <xf numFmtId="165" fontId="0" fillId="5" borderId="15" xfId="0" applyNumberFormat="1" applyFill="1" applyBorder="1" applyAlignment="1">
      <alignment vertical="center"/>
    </xf>
    <xf numFmtId="43" fontId="0" fillId="0" borderId="0" xfId="0" applyNumberFormat="1" applyAlignment="1">
      <alignment horizontal="right" vertical="center"/>
    </xf>
    <xf numFmtId="43" fontId="0" fillId="0" borderId="0" xfId="0" applyNumberFormat="1"/>
    <xf numFmtId="165" fontId="0" fillId="5" borderId="11" xfId="0" applyNumberFormat="1" applyFill="1" applyBorder="1" applyAlignment="1">
      <alignment vertical="center"/>
    </xf>
    <xf numFmtId="165" fontId="0" fillId="5" borderId="0" xfId="0" applyNumberFormat="1" applyFill="1" applyAlignment="1">
      <alignment vertical="center"/>
    </xf>
    <xf numFmtId="165" fontId="0" fillId="5" borderId="12" xfId="0" applyNumberFormat="1" applyFill="1" applyBorder="1" applyAlignment="1">
      <alignment vertical="center"/>
    </xf>
    <xf numFmtId="43" fontId="0" fillId="5" borderId="0" xfId="0" applyNumberFormat="1" applyFill="1" applyAlignment="1">
      <alignment vertical="center"/>
    </xf>
    <xf numFmtId="1" fontId="0" fillId="5" borderId="14" xfId="0" applyNumberFormat="1" applyFill="1" applyBorder="1" applyAlignment="1">
      <alignment horizontal="center" vertical="center"/>
    </xf>
    <xf numFmtId="0" fontId="0" fillId="5" borderId="15" xfId="0" applyFill="1" applyBorder="1" applyAlignment="1">
      <alignment vertical="center"/>
    </xf>
    <xf numFmtId="0" fontId="0" fillId="5" borderId="13" xfId="0" applyFill="1" applyBorder="1" applyAlignment="1">
      <alignment horizontal="center" vertical="center"/>
    </xf>
    <xf numFmtId="0" fontId="0" fillId="5" borderId="14" xfId="0" applyFill="1" applyBorder="1" applyAlignment="1">
      <alignment horizontal="center" vertical="center"/>
    </xf>
    <xf numFmtId="165" fontId="0" fillId="5" borderId="14" xfId="0" applyNumberFormat="1" applyFill="1" applyBorder="1" applyAlignment="1">
      <alignment horizontal="center" vertical="center"/>
    </xf>
    <xf numFmtId="43" fontId="0" fillId="5" borderId="13" xfId="0" applyNumberFormat="1" applyFill="1" applyBorder="1" applyAlignment="1">
      <alignment vertical="center"/>
    </xf>
    <xf numFmtId="43" fontId="0" fillId="5" borderId="14" xfId="0" applyNumberFormat="1" applyFill="1" applyBorder="1" applyAlignment="1">
      <alignment vertical="center"/>
    </xf>
    <xf numFmtId="43" fontId="0" fillId="5" borderId="15" xfId="0" applyNumberFormat="1" applyFill="1" applyBorder="1" applyAlignment="1">
      <alignment vertical="center"/>
    </xf>
    <xf numFmtId="1" fontId="0" fillId="5" borderId="0" xfId="0" applyNumberFormat="1" applyFill="1" applyAlignment="1">
      <alignment horizontal="center" vertical="center"/>
    </xf>
    <xf numFmtId="0" fontId="0" fillId="5" borderId="12" xfId="0" applyFill="1" applyBorder="1" applyAlignment="1">
      <alignment vertical="center"/>
    </xf>
    <xf numFmtId="0" fontId="0" fillId="5" borderId="11" xfId="0" applyFill="1" applyBorder="1" applyAlignment="1">
      <alignment horizontal="center" vertical="center"/>
    </xf>
    <xf numFmtId="0" fontId="0" fillId="5" borderId="0" xfId="0" applyFill="1" applyAlignment="1">
      <alignment horizontal="center" vertical="center"/>
    </xf>
    <xf numFmtId="165" fontId="0" fillId="5" borderId="0" xfId="0" applyNumberFormat="1" applyFill="1" applyAlignment="1">
      <alignment horizontal="center" vertical="center"/>
    </xf>
    <xf numFmtId="43" fontId="0" fillId="5" borderId="11" xfId="0" applyNumberFormat="1" applyFill="1" applyBorder="1" applyAlignment="1">
      <alignment vertical="center"/>
    </xf>
    <xf numFmtId="43" fontId="0" fillId="5" borderId="12" xfId="0" applyNumberFormat="1" applyFill="1" applyBorder="1" applyAlignment="1">
      <alignment vertical="center"/>
    </xf>
    <xf numFmtId="0" fontId="0" fillId="5" borderId="0" xfId="0" applyFill="1" applyAlignment="1">
      <alignment horizontal="left" vertical="center"/>
    </xf>
    <xf numFmtId="165" fontId="0" fillId="5" borderId="0" xfId="0" applyNumberFormat="1" applyFill="1" applyAlignment="1">
      <alignment horizontal="left" vertical="center"/>
    </xf>
    <xf numFmtId="165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/>
    </xf>
    <xf numFmtId="0" fontId="0" fillId="5" borderId="0" xfId="0" applyFill="1" applyAlignment="1">
      <alignment horizontal="left"/>
    </xf>
    <xf numFmtId="165" fontId="0" fillId="5" borderId="0" xfId="0" applyNumberFormat="1" applyFill="1" applyAlignment="1">
      <alignment horizontal="center"/>
    </xf>
    <xf numFmtId="43" fontId="0" fillId="5" borderId="0" xfId="0" applyNumberFormat="1" applyFill="1"/>
    <xf numFmtId="165" fontId="0" fillId="0" borderId="0" xfId="0" applyNumberFormat="1" applyAlignment="1">
      <alignment horizontal="right"/>
    </xf>
    <xf numFmtId="165" fontId="5" fillId="0" borderId="0" xfId="0" applyNumberFormat="1" applyFont="1" applyAlignment="1">
      <alignment horizontal="right" vertical="center"/>
    </xf>
    <xf numFmtId="0" fontId="1" fillId="6" borderId="0" xfId="0" applyFont="1" applyFill="1" applyAlignment="1">
      <alignment horizontal="left" vertical="center"/>
    </xf>
    <xf numFmtId="0" fontId="1" fillId="6" borderId="7" xfId="0" applyFont="1" applyFill="1" applyBorder="1" applyAlignment="1">
      <alignment horizontal="left" vertical="center"/>
    </xf>
    <xf numFmtId="0" fontId="1" fillId="0" borderId="4" xfId="0" applyFont="1" applyBorder="1" applyAlignment="1">
      <alignment horizontal="left"/>
    </xf>
    <xf numFmtId="0" fontId="1" fillId="0" borderId="5" xfId="0" applyFont="1" applyBorder="1" applyAlignment="1">
      <alignment horizontal="left"/>
    </xf>
    <xf numFmtId="0" fontId="1" fillId="0" borderId="6" xfId="0" applyFont="1" applyBorder="1" applyAlignment="1">
      <alignment horizontal="left"/>
    </xf>
    <xf numFmtId="0" fontId="0" fillId="0" borderId="8" xfId="0" applyBorder="1" applyAlignment="1">
      <alignment horizontal="center"/>
    </xf>
    <xf numFmtId="0" fontId="0" fillId="0" borderId="10" xfId="0" applyBorder="1"/>
    <xf numFmtId="0" fontId="0" fillId="0" borderId="11" xfId="0" applyBorder="1" applyAlignment="1">
      <alignment horizontal="center"/>
    </xf>
    <xf numFmtId="0" fontId="0" fillId="0" borderId="12" xfId="0" applyBorder="1"/>
    <xf numFmtId="0" fontId="0" fillId="0" borderId="12" xfId="0" applyBorder="1" applyAlignment="1">
      <alignment horizontal="left"/>
    </xf>
    <xf numFmtId="0" fontId="0" fillId="0" borderId="13" xfId="0" applyBorder="1" applyAlignment="1">
      <alignment horizontal="center"/>
    </xf>
    <xf numFmtId="0" fontId="0" fillId="0" borderId="15" xfId="0" applyBorder="1" applyAlignment="1">
      <alignment horizontal="left"/>
    </xf>
    <xf numFmtId="165" fontId="0" fillId="0" borderId="8" xfId="0" applyNumberFormat="1" applyBorder="1" applyAlignment="1">
      <alignment horizontal="right"/>
    </xf>
    <xf numFmtId="165" fontId="0" fillId="0" borderId="9" xfId="0" applyNumberFormat="1" applyBorder="1" applyAlignment="1">
      <alignment horizontal="right"/>
    </xf>
    <xf numFmtId="165" fontId="0" fillId="0" borderId="10" xfId="0" applyNumberFormat="1" applyBorder="1" applyAlignment="1">
      <alignment horizontal="right"/>
    </xf>
    <xf numFmtId="165" fontId="0" fillId="0" borderId="11" xfId="0" applyNumberFormat="1" applyBorder="1" applyAlignment="1">
      <alignment horizontal="right"/>
    </xf>
    <xf numFmtId="165" fontId="0" fillId="0" borderId="12" xfId="0" applyNumberFormat="1" applyBorder="1" applyAlignment="1">
      <alignment horizontal="right"/>
    </xf>
    <xf numFmtId="165" fontId="0" fillId="0" borderId="11" xfId="0" applyNumberFormat="1" applyBorder="1"/>
    <xf numFmtId="165" fontId="0" fillId="0" borderId="13" xfId="0" applyNumberFormat="1" applyBorder="1" applyAlignment="1">
      <alignment horizontal="right"/>
    </xf>
    <xf numFmtId="165" fontId="0" fillId="0" borderId="14" xfId="0" applyNumberFormat="1" applyBorder="1" applyAlignment="1">
      <alignment horizontal="right"/>
    </xf>
    <xf numFmtId="165" fontId="0" fillId="0" borderId="15" xfId="0" applyNumberFormat="1" applyBorder="1" applyAlignment="1">
      <alignment horizontal="right"/>
    </xf>
    <xf numFmtId="0" fontId="0" fillId="5" borderId="0" xfId="0" applyFill="1" applyAlignment="1">
      <alignment vertical="center"/>
    </xf>
    <xf numFmtId="0" fontId="0" fillId="5" borderId="14" xfId="0" applyFill="1" applyBorder="1" applyAlignment="1">
      <alignment vertical="center"/>
    </xf>
    <xf numFmtId="1" fontId="0" fillId="5" borderId="11" xfId="0" applyNumberFormat="1" applyFill="1" applyBorder="1" applyAlignment="1">
      <alignment horizontal="center" vertical="center"/>
    </xf>
    <xf numFmtId="1" fontId="0" fillId="5" borderId="13" xfId="0" applyNumberFormat="1" applyFill="1" applyBorder="1" applyAlignment="1">
      <alignment horizontal="center" vertical="center"/>
    </xf>
    <xf numFmtId="0" fontId="1" fillId="0" borderId="14" xfId="0" applyFont="1" applyBorder="1" applyAlignment="1">
      <alignment horizontal="center"/>
    </xf>
    <xf numFmtId="0" fontId="1" fillId="0" borderId="15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8" xfId="0" applyFont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</cellXfs>
  <cellStyles count="1">
    <cellStyle name="Normal" xfId="0" builtinId="0"/>
  </cellStyles>
  <dxfs count="15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165" formatCode="_ * #,##0.0_ ;_ * \-#,##0.0_ ;_ * &quot;-&quot;_ ;_ @_ 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numFmt numFmtId="165" formatCode="_ * #,##0.0_ ;_ * \-#,##0.0_ ;_ * &quot;-&quot;_ ;_ @_ 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numFmt numFmtId="165" formatCode="_ * #,##0.0_ ;_ * \-#,##0.0_ ;_ * &quot;-&quot;_ ;_ @_ 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numFmt numFmtId="165" formatCode="_ * #,##0.0_ ;_ * \-#,##0.0_ ;_ * &quot;-&quot;_ ;_ @_ 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numFmt numFmtId="165" formatCode="_ * #,##0.0_ ;_ * \-#,##0.0_ ;_ * &quot;-&quot;_ ;_ @_ 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numFmt numFmtId="165" formatCode="_ * #,##0.0_ ;_ * \-#,##0.0_ ;_ * &quot;-&quot;_ ;_ @_ 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numFmt numFmtId="165" formatCode="_ * #,##0.0_ ;_ * \-#,##0.0_ ;_ * &quot;-&quot;_ ;_ @_ 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numFmt numFmtId="165" formatCode="_ * #,##0.0_ ;_ * \-#,##0.0_ ;_ * &quot;-&quot;_ ;_ @_ 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numFmt numFmtId="165" formatCode="_ * #,##0.0_ ;_ * \-#,##0.0_ ;_ * &quot;-&quot;_ ;_ @_ 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numFmt numFmtId="165" formatCode="_ * #,##0.0_ ;_ * \-#,##0.0_ ;_ * &quot;-&quot;_ ;_ @_ 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numFmt numFmtId="165" formatCode="_ * #,##0.0_ ;_ * \-#,##0.0_ ;_ * &quot;-&quot;_ ;_ @_ 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numFmt numFmtId="165" formatCode="_ * #,##0.0_ ;_ * \-#,##0.0_ ;_ * &quot;-&quot;_ ;_ @_ 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numFmt numFmtId="165" formatCode="_ * #,##0.0_ ;_ * \-#,##0.0_ ;_ * &quot;-&quot;_ ;_ @_ 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numFmt numFmtId="165" formatCode="_ * #,##0.0_ ;_ * \-#,##0.0_ ;_ * &quot;-&quot;_ ;_ @_ 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numFmt numFmtId="165" formatCode="_ * #,##0.0_ ;_ * \-#,##0.0_ ;_ * &quot;-&quot;_ ;_ @_ 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numFmt numFmtId="165" formatCode="_ * #,##0.0_ ;_ * \-#,##0.0_ ;_ * &quot;-&quot;_ ;_ @_ 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numFmt numFmtId="165" formatCode="_ * #,##0.0_ ;_ * \-#,##0.0_ ;_ * &quot;-&quot;_ ;_ @_ 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numFmt numFmtId="165" formatCode="_ * #,##0.0_ ;_ * \-#,##0.0_ ;_ * &quot;-&quot;_ ;_ @_ 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numFmt numFmtId="165" formatCode="_ * #,##0.0_ ;_ * \-#,##0.0_ ;_ * &quot;-&quot;_ ;_ @_ 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numFmt numFmtId="165" formatCode="_ * #,##0.0_ ;_ * \-#,##0.0_ ;_ * &quot;-&quot;_ ;_ @_ 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numFmt numFmtId="165" formatCode="_ * #,##0.0_ ;_ * \-#,##0.0_ ;_ * &quot;-&quot;_ ;_ @_ 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numFmt numFmtId="165" formatCode="_ * #,##0.0_ ;_ * \-#,##0.0_ ;_ * &quot;-&quot;_ ;_ @_ 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numFmt numFmtId="165" formatCode="_ * #,##0.0_ ;_ * \-#,##0.0_ ;_ * &quot;-&quot;_ ;_ @_ 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numFmt numFmtId="165" formatCode="_ * #,##0.0_ ;_ * \-#,##0.0_ ;_ * &quot;-&quot;_ ;_ @_ 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numFmt numFmtId="35" formatCode="_ * #,##0.00_ ;_ * \-#,##0.00_ ;_ * &quot;-&quot;??_ ;_ @_ "/>
      <fill>
        <patternFill patternType="none">
          <fgColor indexed="64"/>
          <bgColor auto="1"/>
        </patternFill>
      </fill>
    </dxf>
    <dxf>
      <numFmt numFmtId="35" formatCode="_ * #,##0.00_ ;_ * \-#,##0.00_ ;_ * &quot;-&quot;??_ ;_ @_ "/>
      <fill>
        <patternFill patternType="none">
          <fgColor indexed="64"/>
          <bgColor auto="1"/>
        </patternFill>
      </fill>
    </dxf>
    <dxf>
      <numFmt numFmtId="35" formatCode="_ * #,##0.00_ ;_ * \-#,##0.00_ ;_ * &quot;-&quot;??_ ;_ @_ "/>
      <fill>
        <patternFill patternType="none">
          <fgColor indexed="64"/>
          <bgColor auto="1"/>
        </patternFill>
      </fill>
    </dxf>
    <dxf>
      <numFmt numFmtId="35" formatCode="_ * #,##0.00_ ;_ * \-#,##0.00_ ;_ * &quot;-&quot;??_ ;_ @_ "/>
      <fill>
        <patternFill patternType="none">
          <fgColor indexed="64"/>
          <bgColor auto="1"/>
        </patternFill>
      </fill>
    </dxf>
    <dxf>
      <numFmt numFmtId="35" formatCode="_ * #,##0.00_ ;_ * \-#,##0.00_ ;_ * &quot;-&quot;??_ ;_ @_ "/>
      <fill>
        <patternFill patternType="none">
          <fgColor indexed="64"/>
          <bgColor auto="1"/>
        </patternFill>
      </fill>
    </dxf>
    <dxf>
      <numFmt numFmtId="35" formatCode="_ * #,##0.00_ ;_ * \-#,##0.00_ ;_ * &quot;-&quot;??_ ;_ @_ "/>
      <fill>
        <patternFill patternType="none">
          <fgColor indexed="64"/>
          <bgColor auto="1"/>
        </patternFill>
      </fill>
    </dxf>
    <dxf>
      <numFmt numFmtId="35" formatCode="_ * #,##0.00_ ;_ * \-#,##0.00_ ;_ * &quot;-&quot;??_ ;_ @_ "/>
      <fill>
        <patternFill patternType="none">
          <fgColor indexed="64"/>
          <bgColor auto="1"/>
        </patternFill>
      </fill>
    </dxf>
    <dxf>
      <numFmt numFmtId="35" formatCode="_ * #,##0.00_ ;_ * \-#,##0.00_ ;_ * &quot;-&quot;??_ ;_ @_ "/>
      <fill>
        <patternFill patternType="none">
          <fgColor indexed="64"/>
          <bgColor auto="1"/>
        </patternFill>
      </fill>
    </dxf>
    <dxf>
      <numFmt numFmtId="35" formatCode="_ * #,##0.00_ ;_ * \-#,##0.00_ ;_ * &quot;-&quot;??_ ;_ @_ "/>
      <fill>
        <patternFill patternType="none">
          <fgColor indexed="64"/>
          <bgColor auto="1"/>
        </patternFill>
      </fill>
    </dxf>
    <dxf>
      <numFmt numFmtId="35" formatCode="_ * #,##0.00_ ;_ * \-#,##0.00_ ;_ * &quot;-&quot;??_ ;_ @_ "/>
      <fill>
        <patternFill patternType="none">
          <fgColor indexed="64"/>
          <bgColor auto="1"/>
        </patternFill>
      </fill>
    </dxf>
    <dxf>
      <numFmt numFmtId="35" formatCode="_ * #,##0.00_ ;_ * \-#,##0.00_ ;_ * &quot;-&quot;??_ ;_ @_ 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numFmt numFmtId="165" formatCode="_ * #,##0.0_ ;_ * \-#,##0.0_ ;_ * &quot;-&quot;_ ;_ @_ 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35" formatCode="_ * #,##0.00_ ;_ * \-#,##0.00_ ;_ * &quot;-&quot;??_ ;_ @_ "/>
      <alignment vertical="center" textRotation="0" wrapText="0" indent="0" justifyLastLine="0" shrinkToFit="0" readingOrder="0"/>
    </dxf>
    <dxf>
      <numFmt numFmtId="35" formatCode="_ * #,##0.00_ ;_ * \-#,##0.00_ ;_ * &quot;-&quot;??_ ;_ @_ "/>
      <alignment vertical="center" textRotation="0" wrapText="0" indent="0" justifyLastLine="0" shrinkToFit="0" readingOrder="0"/>
    </dxf>
    <dxf>
      <numFmt numFmtId="35" formatCode="_ * #,##0.00_ ;_ * \-#,##0.00_ ;_ * &quot;-&quot;??_ ;_ @_ "/>
      <alignment vertical="center" textRotation="0" wrapText="0" indent="0" justifyLastLine="0" shrinkToFit="0" readingOrder="0"/>
    </dxf>
    <dxf>
      <numFmt numFmtId="35" formatCode="_ * #,##0.00_ ;_ * \-#,##0.00_ ;_ * &quot;-&quot;??_ ;_ @_ "/>
      <alignment vertical="center" textRotation="0" wrapText="0" indent="0" justifyLastLine="0" shrinkToFit="0" readingOrder="0"/>
    </dxf>
    <dxf>
      <numFmt numFmtId="35" formatCode="_ * #,##0.00_ ;_ * \-#,##0.00_ ;_ * &quot;-&quot;??_ ;_ @_ "/>
      <alignment vertical="center" textRotation="0" wrapText="0" indent="0" justifyLastLine="0" shrinkToFit="0" readingOrder="0"/>
    </dxf>
    <dxf>
      <numFmt numFmtId="35" formatCode="_ * #,##0.00_ ;_ * \-#,##0.00_ ;_ * &quot;-&quot;??_ ;_ @_ "/>
      <alignment vertical="center" textRotation="0" wrapText="0" indent="0" justifyLastLine="0" shrinkToFit="0" readingOrder="0"/>
    </dxf>
    <dxf>
      <numFmt numFmtId="165" formatCode="_ * #,##0.0_ ;_ * \-#,##0.0_ ;_ * &quot;-&quot;_ ;_ @_ "/>
      <alignment vertical="center" textRotation="0" wrapText="0" indent="0" justifyLastLine="0" shrinkToFit="0" readingOrder="0"/>
    </dxf>
    <dxf>
      <numFmt numFmtId="165" formatCode="_ * #,##0.0_ ;_ * \-#,##0.0_ ;_ * &quot;-&quot;_ ;_ @_ 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</dxf>
    <dxf>
      <numFmt numFmtId="165" formatCode="_ * #,##0.0_ ;_ * \-#,##0.0_ ;_ * &quot;-&quot;_ ;_ @_ "/>
      <alignment vertical="center" textRotation="0" wrapText="0" indent="0" justifyLastLine="0" shrinkToFit="0" readingOrder="0"/>
    </dxf>
    <dxf>
      <numFmt numFmtId="165" formatCode="_ * #,##0.0_ ;_ * \-#,##0.0_ ;_ * &quot;-&quot;_ ;_ @_ 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</dxf>
    <dxf>
      <numFmt numFmtId="165" formatCode="_ * #,##0.0_ ;_ * \-#,##0.0_ ;_ * &quot;-&quot;_ ;_ @_ "/>
      <alignment vertical="center" textRotation="0" wrapText="0" indent="0" justifyLastLine="0" shrinkToFit="0" readingOrder="0"/>
    </dxf>
    <dxf>
      <numFmt numFmtId="165" formatCode="_ * #,##0.0_ ;_ * \-#,##0.0_ ;_ * &quot;-&quot;_ ;_ @_ "/>
      <alignment vertical="center" textRotation="0" wrapText="0" indent="0" justifyLastLine="0" shrinkToFit="0" readingOrder="0"/>
    </dxf>
    <dxf>
      <numFmt numFmtId="165" formatCode="_ * #,##0.0_ ;_ * \-#,##0.0_ ;_ * &quot;-&quot;_ ;_ @_ "/>
      <alignment vertical="center" textRotation="0" wrapText="0" indent="0" justifyLastLine="0" shrinkToFit="0" readingOrder="0"/>
    </dxf>
    <dxf>
      <numFmt numFmtId="165" formatCode="_ * #,##0.0_ ;_ * \-#,##0.0_ ;_ * &quot;-&quot;_ ;_ @_ "/>
      <alignment vertical="center" textRotation="0" wrapText="0" indent="0" justifyLastLine="0" shrinkToFit="0" readingOrder="0"/>
    </dxf>
    <dxf>
      <numFmt numFmtId="165" formatCode="_ * #,##0.0_ ;_ * \-#,##0.0_ ;_ * &quot;-&quot;_ ;_ @_ "/>
      <alignment vertical="center" textRotation="0" wrapText="0" indent="0" justifyLastLine="0" shrinkToFit="0" readingOrder="0"/>
    </dxf>
    <dxf>
      <numFmt numFmtId="165" formatCode="_ * #,##0.0_ ;_ * \-#,##0.0_ ;_ * &quot;-&quot;_ ;_ @_ "/>
      <alignment vertical="center" textRotation="0" wrapText="0" indent="0" justifyLastLine="0" shrinkToFit="0" readingOrder="0"/>
    </dxf>
    <dxf>
      <numFmt numFmtId="165" formatCode="_ * #,##0.0_ ;_ * \-#,##0.0_ ;_ * &quot;-&quot;_ ;_ @_ "/>
      <alignment vertical="center" textRotation="0" wrapText="0" indent="0" justifyLastLine="0" shrinkToFit="0" readingOrder="0"/>
    </dxf>
    <dxf>
      <numFmt numFmtId="165" formatCode="_ * #,##0.0_ ;_ * \-#,##0.0_ ;_ * &quot;-&quot;_ ;_ @_ "/>
      <alignment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65" formatCode="_ * #,##0.0_ ;_ * \-#,##0.0_ ;_ * &quot;-&quot;_ ;_ @_ "/>
      <alignment horizontal="right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 * #,##0.00_ ;_ * \-#,##0.00_ ;_ * &quot;-&quot;??_ ;_ @_ 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 * #,##0.00_ ;_ * \-#,##0.00_ ;_ * &quot;-&quot;??_ ;_ @_ 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 * #,##0.00_ ;_ * \-#,##0.00_ ;_ * &quot;-&quot;??_ ;_ @_ 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 * #,##0.00_ ;_ * \-#,##0.00_ ;_ * &quot;-&quot;??_ ;_ @_ 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 * #,##0.00_ ;_ * \-#,##0.00_ ;_ * &quot;-&quot;??_ ;_ @_ 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 * #,##0.00_ ;_ * \-#,##0.00_ ;_ * &quot;-&quot;??_ ;_ @_ 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 * #,##0.00_ ;_ * \-#,##0.00_ ;_ * &quot;-&quot;??_ ;_ @_ 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_ * #,##0.0_ ;_ * \-#,##0.0_ ;_ * &quot;-&quot;_ ;_ @_ 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_ * #,##0.0_ ;_ * \-#,##0.0_ ;_ * &quot;-&quot;_ ;_ @_ 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_ * #,##0.0_ ;_ * \-#,##0.0_ ;_ * &quot;-&quot;_ ;_ @_ 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_ * #,##0.0_ ;_ * \-#,##0.0_ ;_ * &quot;-&quot;_ ;_ @_ 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_ * #,##0.0_ ;_ * \-#,##0.0_ ;_ * &quot;-&quot;_ ;_ @_ 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_ * #,##0.0_ ;_ * \-#,##0.0_ ;_ * &quot;-&quot;_ ;_ @_ 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_ * #,##0.0_ ;_ * \-#,##0.0_ ;_ * &quot;-&quot;_ ;_ @_ 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_ * #,##0.0_ ;_ * \-#,##0.0_ ;_ * &quot;-&quot;_ ;_ @_ 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_ * #,##0.0_ ;_ * \-#,##0.0_ ;_ * &quot;-&quot;_ ;_ @_ 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_ * #,##0.0_ ;_ * \-#,##0.0_ ;_ * &quot;-&quot;_ ;_ @_ 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_ * #,##0.0_ ;_ * \-#,##0.0_ ;_ * &quot;-&quot;_ ;_ @_ 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_ * #,##0.0_ ;_ * \-#,##0.0_ ;_ * &quot;-&quot;_ ;_ @_ 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_ * #,##0.0_ ;_ * \-#,##0.0_ ;_ * &quot;-&quot;_ ;_ @_ 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35" formatCode="_ * #,##0.00_ ;_ * \-#,##0.00_ ;_ * &quot;-&quot;??_ ;_ @_ "/>
      <alignment horizontal="general" vertical="center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numFmt numFmtId="35" formatCode="_ * #,##0.00_ ;_ * \-#,##0.00_ ;_ * &quot;-&quot;??_ ;_ @_ "/>
      <alignment horizontal="general" vertical="center" textRotation="0" wrapText="0" indent="0" justifyLastLine="0" shrinkToFit="0" readingOrder="0"/>
    </dxf>
    <dxf>
      <numFmt numFmtId="35" formatCode="_ * #,##0.00_ ;_ * \-#,##0.00_ ;_ * &quot;-&quot;??_ ;_ @_ "/>
      <alignment horizontal="general" vertical="center" textRotation="0" wrapText="0" indent="0" justifyLastLine="0" shrinkToFit="0" readingOrder="0"/>
    </dxf>
    <dxf>
      <numFmt numFmtId="35" formatCode="_ * #,##0.00_ ;_ * \-#,##0.00_ ;_ * &quot;-&quot;??_ ;_ @_ "/>
      <alignment horizontal="general" vertical="center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numFmt numFmtId="35" formatCode="_ * #,##0.00_ ;_ * \-#,##0.00_ ;_ * &quot;-&quot;??_ ;_ @_ 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</dxf>
    <dxf>
      <numFmt numFmtId="35" formatCode="_ * #,##0.00_ ;_ * \-#,##0.00_ ;_ * &quot;-&quot;??_ ;_ @_ 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</dxf>
    <dxf>
      <numFmt numFmtId="35" formatCode="_ * #,##0.00_ ;_ * \-#,##0.00_ ;_ * &quot;-&quot;??_ ;_ @_ 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</dxf>
    <dxf>
      <numFmt numFmtId="35" formatCode="_ * #,##0.00_ ;_ * \-#,##0.00_ ;_ * &quot;-&quot;??_ ;_ @_ 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</dxf>
    <dxf>
      <numFmt numFmtId="35" formatCode="_ * #,##0.00_ ;_ * \-#,##0.00_ ;_ * &quot;-&quot;??_ ;_ @_ "/>
      <alignment horizontal="general" vertical="center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numFmt numFmtId="35" formatCode="_ * #,##0.00_ ;_ * \-#,##0.00_ ;_ * &quot;-&quot;??_ ;_ @_ "/>
      <alignment horizontal="general" vertical="center" textRotation="0" wrapText="0" indent="0" justifyLastLine="0" shrinkToFit="0" readingOrder="0"/>
    </dxf>
    <dxf>
      <numFmt numFmtId="35" formatCode="_ * #,##0.00_ ;_ * \-#,##0.00_ ;_ * &quot;-&quot;??_ ;_ @_ "/>
      <alignment horizontal="general" vertical="center" textRotation="0" wrapText="0" indent="0" justifyLastLine="0" shrinkToFit="0" readingOrder="0"/>
    </dxf>
    <dxf>
      <numFmt numFmtId="35" formatCode="_ * #,##0.00_ ;_ * \-#,##0.00_ ;_ * &quot;-&quot;??_ ;_ @_ "/>
      <alignment horizontal="general" vertical="center" textRotation="0" wrapText="0" indent="0" justifyLastLine="0" shrinkToFit="0" readingOrder="0"/>
    </dxf>
    <dxf>
      <numFmt numFmtId="35" formatCode="_ * #,##0.00_ ;_ * \-#,##0.00_ ;_ * &quot;-&quot;??_ ;_ @_ "/>
      <alignment horizontal="general" vertical="center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numFmt numFmtId="35" formatCode="_ * #,##0.00_ ;_ * \-#,##0.00_ ;_ * &quot;-&quot;??_ ;_ @_ "/>
      <alignment horizontal="general" vertical="center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numFmt numFmtId="35" formatCode="_ * #,##0.00_ ;_ * \-#,##0.00_ ;_ * &quot;-&quot;??_ ;_ @_ "/>
      <alignment horizontal="general" vertical="center" textRotation="0" wrapText="0" indent="0" justifyLastLine="0" shrinkToFit="0" readingOrder="0"/>
    </dxf>
    <dxf>
      <numFmt numFmtId="35" formatCode="_ * #,##0.00_ ;_ * \-#,##0.00_ ;_ * &quot;-&quot;??_ ;_ @_ "/>
      <alignment horizontal="general" vertical="center" textRotation="0" wrapText="0" indent="0" justifyLastLine="0" shrinkToFit="0" readingOrder="0"/>
    </dxf>
    <dxf>
      <numFmt numFmtId="35" formatCode="_ * #,##0.00_ ;_ * \-#,##0.00_ ;_ * &quot;-&quot;??_ ;_ @_ "/>
      <alignment horizontal="general" vertical="center" textRotation="0" wrapText="0" indent="0" justifyLastLine="0" shrinkToFit="0" readingOrder="0"/>
    </dxf>
    <dxf>
      <numFmt numFmtId="35" formatCode="_ * #,##0.00_ ;_ * \-#,##0.00_ ;_ * &quot;-&quot;??_ ;_ @_ "/>
      <alignment horizontal="general" vertical="center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numFmt numFmtId="35" formatCode="_ * #,##0.00_ ;_ * \-#,##0.00_ ;_ * &quot;-&quot;??_ ;_ @_ "/>
      <alignment horizontal="general" vertical="center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numFmt numFmtId="35" formatCode="_ * #,##0.00_ ;_ * \-#,##0.00_ ;_ * &quot;-&quot;??_ ;_ @_ "/>
      <alignment horizontal="general" vertical="center" textRotation="0" wrapText="0" indent="0" justifyLastLine="0" shrinkToFit="0" readingOrder="0"/>
    </dxf>
    <dxf>
      <numFmt numFmtId="35" formatCode="_ * #,##0.00_ ;_ * \-#,##0.00_ ;_ * &quot;-&quot;??_ ;_ @_ "/>
      <alignment horizontal="general" vertical="center" textRotation="0" wrapText="0" indent="0" justifyLastLine="0" shrinkToFit="0" readingOrder="0"/>
    </dxf>
    <dxf>
      <numFmt numFmtId="35" formatCode="_ * #,##0.00_ ;_ * \-#,##0.00_ ;_ * &quot;-&quot;??_ ;_ @_ "/>
      <alignment horizontal="general" vertical="center" textRotation="0" wrapText="0" indent="0" justifyLastLine="0" shrinkToFit="0" readingOrder="0"/>
    </dxf>
    <dxf>
      <numFmt numFmtId="35" formatCode="_ * #,##0.00_ ;_ * \-#,##0.00_ ;_ * &quot;-&quot;??_ ;_ @_ 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</dxf>
    <dxf>
      <numFmt numFmtId="35" formatCode="_ * #,##0.00_ ;_ * \-#,##0.00_ ;_ * &quot;-&quot;??_ ;_ @_ "/>
      <alignment horizontal="general" vertical="center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numFmt numFmtId="35" formatCode="_ * #,##0.00_ ;_ * \-#,##0.00_ ;_ * &quot;-&quot;??_ ;_ @_ "/>
      <alignment horizontal="general" vertical="center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numFmt numFmtId="35" formatCode="_ * #,##0.00_ ;_ * \-#,##0.00_ ;_ * &quot;-&quot;??_ ;_ @_ "/>
      <alignment horizontal="general" vertical="center" textRotation="0" wrapText="0" indent="0" justifyLastLine="0" shrinkToFit="0" readingOrder="0"/>
    </dxf>
    <dxf>
      <numFmt numFmtId="35" formatCode="_ * #,##0.00_ ;_ * \-#,##0.00_ ;_ * &quot;-&quot;??_ ;_ @_ "/>
      <alignment horizontal="general" vertical="center" textRotation="0" wrapText="0" indent="0" justifyLastLine="0" shrinkToFit="0" readingOrder="0"/>
    </dxf>
    <dxf>
      <numFmt numFmtId="35" formatCode="_ * #,##0.00_ ;_ * \-#,##0.00_ ;_ * &quot;-&quot;??_ ;_ @_ "/>
      <alignment horizontal="general" vertical="center" textRotation="0" wrapText="0" indent="0" justifyLastLine="0" shrinkToFit="0" readingOrder="0"/>
    </dxf>
    <dxf>
      <numFmt numFmtId="35" formatCode="_ * #,##0.00_ ;_ * \-#,##0.00_ ;_ * &quot;-&quot;??_ ;_ @_ "/>
      <alignment horizontal="general" vertical="center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numFmt numFmtId="165" formatCode="_ * #,##0.0_ ;_ * \-#,##0.0_ ;_ * &quot;-&quot;_ ;_ @_ "/>
      <alignment horizontal="general" vertical="center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numFmt numFmtId="165" formatCode="_ * #,##0.0_ ;_ * \-#,##0.0_ ;_ * &quot;-&quot;_ ;_ @_ "/>
      <alignment horizontal="general" vertical="center" textRotation="0" wrapText="0" indent="0" justifyLastLine="0" shrinkToFit="0" readingOrder="0"/>
    </dxf>
    <dxf>
      <numFmt numFmtId="165" formatCode="_ * #,##0.0_ ;_ * \-#,##0.0_ ;_ * &quot;-&quot;_ ;_ @_ "/>
      <alignment horizontal="general" vertical="center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alignment horizontal="general" vertical="center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numFmt numFmtId="165" formatCode="_ * #,##0.0_ ;_ * \-#,##0.0_ ;_ * &quot;-&quot;_ ;_ @_ "/>
      <alignment horizontal="center" vertical="center" textRotation="0" wrapText="0" indent="0" justifyLastLine="0" shrinkToFit="0" readingOrder="0"/>
    </dxf>
    <dxf>
      <numFmt numFmtId="165" formatCode="_ * #,##0.0_ ;_ * \-#,##0.0_ ;_ * &quot;-&quot;_ ;_ @_ "/>
      <alignment horizontal="center" vertical="center" textRotation="0" wrapText="0" indent="0" justifyLastLine="0" shrinkToFit="0" readingOrder="0"/>
    </dxf>
    <dxf>
      <numFmt numFmtId="165" formatCode="_ * #,##0.0_ ;_ * \-#,##0.0_ ;_ * &quot;-&quot;_ ;_ @_ "/>
      <alignment horizontal="general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>
        <left/>
        <right/>
        <top/>
        <bottom style="medium">
          <color indexed="64"/>
        </bottom>
        <vertical/>
        <horizontal/>
      </border>
    </dxf>
    <dxf>
      <alignment horizontal="general" vertical="center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alignment horizontal="general" vertical="center" textRotation="0" wrapText="0" indent="0" justifyLastLine="0" shrinkToFit="0" readingOrder="0"/>
    </dxf>
    <dxf>
      <alignment horizontal="left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CEEBDC5-56C5-4BF9-924D-FF2EA895E62F}" name="T_Info" displayName="T_Info" ref="A1:AR85" totalsRowShown="0" headerRowDxfId="158" dataDxfId="157">
  <autoFilter ref="A1:AR85" xr:uid="{FCEEBDC5-56C5-4BF9-924D-FF2EA895E62F}"/>
  <tableColumns count="44">
    <tableColumn id="1" xr3:uid="{718769E9-AC2A-4832-9316-ACBA63AFED08}" name="N°" dataDxfId="156"/>
    <tableColumn id="2" xr3:uid="{C1A199F9-8C16-4491-A261-80E580B35913}" name="Codigo" dataDxfId="155"/>
    <tableColumn id="3" xr3:uid="{FC3E6398-17D0-4FC8-8765-753CCB7C4D64}" name="Proyecto" dataDxfId="154"/>
    <tableColumn id="19" xr3:uid="{72A77009-0454-46DB-8161-4478AC3AAC90}" name="Inmobiliaria" dataDxfId="153"/>
    <tableColumn id="5" xr3:uid="{D0EF1B50-66B5-4484-8E77-DAC47577D3D3}" name="T.S" dataDxfId="152"/>
    <tableColumn id="4" xr3:uid="{094EED3E-D064-4575-B480-E3A8A043F662}" name="Z.S" dataDxfId="151"/>
    <tableColumn id="7" xr3:uid="{46E8F639-D13B-49B2-A9B6-FFC0805B4ABD}" name="Pisos" dataDxfId="150"/>
    <tableColumn id="6" xr3:uid="{CE30DC25-1F50-49A0-A698-D61FB49587E5}" name="Subt." dataDxfId="149"/>
    <tableColumn id="8" xr3:uid="{FA3B9654-B79B-40EF-A573-697333E3AE1E}" name="Superficie m2" dataDxfId="148"/>
    <tableColumn id="9" xr3:uid="{4A3E8D31-70B4-4C8C-8486-46F04EEE43B2}" name="Postensado" dataDxfId="147"/>
    <tableColumn id="40" xr3:uid="{629ECB44-1220-4077-836F-7CEE2B1312AD}" name="Losa Fundación" dataDxfId="146"/>
    <tableColumn id="10" xr3:uid="{B7FD0662-3D4D-4F32-9D5A-A78F54AC3154}" name="Versión CBC" dataDxfId="145"/>
    <tableColumn id="31" xr3:uid="{95CECD4B-C0D8-4BCB-AED6-CAEF3284C96A}" name="Fe (kg)" dataDxfId="144">
      <calculatedColumnFormula>SUMIFS(T_Fe[Total kg],T_Fe[Codigo],T_Info[[#This Row],[Codigo]])</calculatedColumnFormula>
    </tableColumn>
    <tableColumn id="32" xr3:uid="{B33DE11E-625F-42DD-A5B8-63808352A273}" name="HA (m3)" dataDxfId="143">
      <calculatedColumnFormula>SUMIFS(T_HA[Total m3],T_HA[Codigo],T_Info[[#This Row],[Codigo]])</calculatedColumnFormula>
    </tableColumn>
    <tableColumn id="33" xr3:uid="{4BF75048-7F9C-499E-9EF1-76667A73C298}" name="MLD (m2)" dataDxfId="142">
      <calculatedColumnFormula>SUMIFS(T_MLD[Total m2],T_MLD[Codigo],T_Info[[#This Row],[Codigo]])</calculatedColumnFormula>
    </tableColumn>
    <tableColumn id="34" xr3:uid="{99DD6BBA-212E-49B4-80DE-1A825D64D864}" name="Fe/HA (kg/m3)" dataDxfId="141">
      <calculatedColumnFormula>IFERROR(T_Info[[#This Row],[Fe (kg)]]/T_Info[[#This Row],[HA (m3)]],)</calculatedColumnFormula>
    </tableColumn>
    <tableColumn id="35" xr3:uid="{8D6EA17C-0589-4833-BDB4-46DC2115F193}" name="Fe/Sup (kg/m2)" dataDxfId="140">
      <calculatedColumnFormula>IFERROR(T_Info[[#This Row],[Fe (kg)]]/T_Info[[#This Row],[Superficie m2]],)</calculatedColumnFormula>
    </tableColumn>
    <tableColumn id="36" xr3:uid="{DEF9B580-F383-4BB8-8E71-84160F1B9C71}" name="HA/Sup (m3/m2)" dataDxfId="139">
      <calculatedColumnFormula>IFERROR(T_Info[[#This Row],[HA (m3)]]/T_Info[[#This Row],[Superficie m2]],)</calculatedColumnFormula>
    </tableColumn>
    <tableColumn id="39" xr3:uid="{9D987BDF-F9B1-415E-B377-A2CBD99B1975}" name="HA/MLD (m3/m2)" dataDxfId="138">
      <calculatedColumnFormula>IFERROR(T_Info[[#This Row],[HA (m3)]]/T_Info[[#This Row],[MLD (m2)]],)</calculatedColumnFormula>
    </tableColumn>
    <tableColumn id="11" xr3:uid="{0E8A3CBD-86B9-4A60-9B45-59FF3EA33D67}" name="MLD/Sup (m2/m2)" dataDxfId="137">
      <calculatedColumnFormula>IFERROR(T_Info[[#This Row],[MLD (m2)]]/T_Info[[#This Row],[Superficie m2]],)</calculatedColumnFormula>
    </tableColumn>
    <tableColumn id="14" xr3:uid="{B59D8C5E-85E3-4BA8-839E-C7C45FDB2F88}" name="Fund kg/m3" dataDxfId="136">
      <calculatedColumnFormula>IFERROR(SUMIFS(T_Fe[Fund kg],T_Fe[Codigo],T_Info[[#This Row],[Codigo]])/SUMIFS(T_HA[Fund m3],T_HA[Codigo],T_Info[[#This Row],[Codigo]]),)</calculatedColumnFormula>
    </tableColumn>
    <tableColumn id="45" xr3:uid="{B100CAC8-877B-477D-BBA9-6023D14D1FB7}" name="Grua kg/m3" dataDxfId="135">
      <calculatedColumnFormula>IFERROR(SUMIFS(T_Fe[Grua kg],T_Fe[Codigo],T_Info[[#This Row],[Codigo]])/SUMIFS(T_HA[Grua m3],T_HA[Codigo],T_Info[[#This Row],[Codigo]]),)</calculatedColumnFormula>
    </tableColumn>
    <tableColumn id="15" xr3:uid="{488B8391-3E69-421A-BC02-BA071F29F774}" name="Muros kg/m3" dataDxfId="134">
      <calculatedColumnFormula>IFERROR(SUMIFS(T_Fe[Muros kg],T_Fe[Codigo],T_Info[[#This Row],[Codigo]])/SUMIFS(T_HA[Muros Int m3],T_HA[Codigo],T_Info[[#This Row],[Codigo]]),)</calculatedColumnFormula>
    </tableColumn>
    <tableColumn id="16" xr3:uid="{5CC4E1F6-65C3-4264-A806-978C6C4D2FAF}" name="Perimetrales kg/m3" dataDxfId="133">
      <calculatedColumnFormula>IFERROR(SUMIFS(T_Fe[Perimetrales kg],T_Fe[Codigo],T_Info[[#This Row],[Codigo]])/SUMIFS(T_HA[Perimetrales m3],T_HA[Codigo],T_Info[[#This Row],[Codigo]]),)</calculatedColumnFormula>
    </tableColumn>
    <tableColumn id="17" xr3:uid="{A833A3D4-C481-40B1-BA40-3F2ACD794358}" name="Vigas kg/m3" dataDxfId="132">
      <calculatedColumnFormula>IFERROR(SUMIFS(T_Fe[Vigas kg],T_Fe[Codigo],T_Info[[#This Row],[Codigo]])/SUMIFS(T_HA[Vigas m3],T_HA[Codigo],T_Info[[#This Row],[Codigo]]),)</calculatedColumnFormula>
    </tableColumn>
    <tableColumn id="18" xr3:uid="{2923C845-B5B2-44E7-BF55-1E6ECF184C1F}" name="Losas kg/m3" dataDxfId="131">
      <calculatedColumnFormula>IFERROR(SUMIFS(T_Fe[Losas kg],T_Fe[Codigo],T_Info[[#This Row],[Codigo]])/SUMIFS(T_HA[Losas m3],T_HA[Codigo],T_Info[[#This Row],[Codigo]]),)</calculatedColumnFormula>
    </tableColumn>
    <tableColumn id="20" xr3:uid="{6BB35374-D971-49FA-9D83-C85B52754B99}" name="Fund kg/m2" dataDxfId="130">
      <calculatedColumnFormula>SUMIFS(T_Fe[Fund kg/m2],T_Fe[Codigo],T_Info[[#This Row],[Codigo]])</calculatedColumnFormula>
    </tableColumn>
    <tableColumn id="21" xr3:uid="{7AA0F6B4-4161-4670-9DF5-70EE6E3F68C2}" name="Muros kg/m2" dataDxfId="129">
      <calculatedColumnFormula>SUMIFS(T_Fe[Muros kg/m2],T_Fe[Codigo],T_Info[[#This Row],[Codigo]])</calculatedColumnFormula>
    </tableColumn>
    <tableColumn id="22" xr3:uid="{839F38D0-2FEC-4950-9E80-2174BDA88589}" name="Perimetrales kg/m2" dataDxfId="128">
      <calculatedColumnFormula>SUMIFS(T_Fe[Perimetrales kg/m2],T_Fe[Codigo],T_Info[[#This Row],[Codigo]])</calculatedColumnFormula>
    </tableColumn>
    <tableColumn id="26" xr3:uid="{131E2B64-1289-4ADC-B194-6FD3415AC9F4}" name="Vigas kg/m2" dataDxfId="127">
      <calculatedColumnFormula>SUMIFS(T_Fe[Vigas kg/m2],T_Fe[Codigo],T_Info[[#This Row],[Codigo]])</calculatedColumnFormula>
    </tableColumn>
    <tableColumn id="27" xr3:uid="{0EA2059B-C583-46E1-9B31-945E4FCB5850}" name="Losas kg/m2" dataDxfId="126">
      <calculatedColumnFormula>SUMIFS(T_Fe[Losas kg/m2],T_Fe[Codigo],T_Info[[#This Row],[Codigo]])</calculatedColumnFormula>
    </tableColumn>
    <tableColumn id="28" xr3:uid="{F1C584C4-6354-4278-A1E9-6E511AD0211D}" name="Fund m3/m2" dataDxfId="125">
      <calculatedColumnFormula>IFERROR(SUMIFS(T_HA[Fund m3/m2],T_HA[Codigo],T_Info[[#This Row],[Codigo]]),)</calculatedColumnFormula>
    </tableColumn>
    <tableColumn id="29" xr3:uid="{65DE0614-C025-41DE-B126-1F1B76D911E7}" name="Muros m3/m2" dataDxfId="124">
      <calculatedColumnFormula>IFERROR(SUMIFS(T_HA[Muros Int m3/m2],T_HA[Codigo],T_Info[[#This Row],[Codigo]]),)</calculatedColumnFormula>
    </tableColumn>
    <tableColumn id="30" xr3:uid="{511549BB-1736-4F6E-8B36-F6368B253110}" name="Perimetrales m3/m2" dataDxfId="123">
      <calculatedColumnFormula>IFERROR(SUMIFS(T_HA[Perimetrales m3/m2],T_HA[Codigo],T_Info[[#This Row],[Codigo]]),)</calculatedColumnFormula>
    </tableColumn>
    <tableColumn id="37" xr3:uid="{19433BAA-259D-4F32-ABBD-80EEDC546A17}" name="Vigas m3/m2" dataDxfId="122">
      <calculatedColumnFormula>IFERROR(SUMIFS(T_HA[Vigas m3/m2],T_HA[Codigo],T_Info[[#This Row],[Codigo]]),)</calculatedColumnFormula>
    </tableColumn>
    <tableColumn id="38" xr3:uid="{4DCD3B38-C098-4D63-95FF-48A0D59A1B11}" name="Losas m3/m2" dataDxfId="121">
      <calculatedColumnFormula>IFERROR(SUMIFS(T_HA[Losas m3/m2],T_HA[Codigo],T_Info[[#This Row],[Codigo]]),)</calculatedColumnFormula>
    </tableColumn>
    <tableColumn id="25" xr3:uid="{E6937B68-5C35-435C-A51D-3FB13775CDC6}" name="Fund L m3/m2" dataDxfId="120">
      <calculatedColumnFormula>IFERROR(SUMIFS(T_HA[Fund m3],T_HA[Codigo],T_Info[[#This Row],[Codigo]])/SUMIFS(T_MLD[Fund Lat m2],T_MLD[Codigo],T_Info[[#This Row],[Codigo]]),)</calculatedColumnFormula>
    </tableColumn>
    <tableColumn id="41" xr3:uid="{BAF300E4-1BEA-446D-B5FF-9E0C942AAEB3}" name="Muro LyF m3/m2" dataDxfId="119">
      <calculatedColumnFormula>IFERROR(SUMIFS(T_HA[Muros m3],T_HA[Codigo],T_Info[[#This Row],[Codigo]])/SUMIFS(T_MLD[Muro m2],T_MLD[Codigo],T_Info[[#This Row],[Codigo]]),)</calculatedColumnFormula>
    </tableColumn>
    <tableColumn id="43" xr3:uid="{0A62DE01-9407-425A-807A-312C11B26CC1}" name="Viga LyF m3/m2" dataDxfId="118">
      <calculatedColumnFormula>IFERROR(SUMIFS(T_HA[Vigas m3],T_HA[Codigo],T_Info[[#This Row],[Codigo]])/(SUMIFS(T_MLD[Viga Lat m2],T_MLD[Codigo],T_Info[[#This Row],[Codigo]])+SUMIFS(T_MLD[Viga Fondo m2],T_MLD[Codigo],T_Info[[#This Row],[Codigo]])),)</calculatedColumnFormula>
    </tableColumn>
    <tableColumn id="44" xr3:uid="{E0DDCBAD-E50C-4814-8D41-C5E816271715}" name="Losa LyF m3/m2" dataDxfId="117">
      <calculatedColumnFormula>IFERROR(SUMIFS(T_HA[Losas m3],T_HA[Codigo],T_Info[[#This Row],[Codigo]])/(SUMIFS(T_MLD[Losa Fondo m2],T_MLD[Codigo],T_Info[[#This Row],[Codigo]])+SUMIFS(T_MLD[Rebalse m2],T_MLD[Codigo],T_Info[[#This Row],[Codigo]])),)</calculatedColumnFormula>
    </tableColumn>
    <tableColumn id="12" xr3:uid="{DF168C12-48F4-4C7A-B3A7-F5CD4AF2AE89}" name="Fund L m2/m2" dataDxfId="116">
      <calculatedColumnFormula>IFERROR(SUMIFS(T_MLD[Fund Lat m2],T_MLD[Codigo],T_Info[[#This Row],[Codigo]])/T_Info[[#This Row],[Superficie m2]],)</calculatedColumnFormula>
    </tableColumn>
    <tableColumn id="13" xr3:uid="{1E1BACA6-29E4-4A27-B9AE-937430C4F6B2}" name="Muro LyF m2/m2" dataDxfId="115">
      <calculatedColumnFormula>IFERROR(SUMIFS(T_MLD[Muro m2],T_MLD[Codigo],T_Info[[#This Row],[Codigo]])/T_Info[[#This Row],[Superficie m2]],)</calculatedColumnFormula>
    </tableColumn>
    <tableColumn id="23" xr3:uid="{45B05832-C890-43A7-8D70-45D319DAC285}" name="Viga LyF m2/m2" dataDxfId="114">
      <calculatedColumnFormula>IFERROR((SUMIFS(T_MLD[Viga Lat m2],T_MLD[Codigo],T_Info[[#This Row],[Codigo]])+SUMIFS(T_MLD[Viga Fondo m2],T_MLD[Codigo],T_Info[[#This Row],[Codigo]]))/T_Info[[#This Row],[Superficie m2]],)</calculatedColumnFormula>
    </tableColumn>
    <tableColumn id="24" xr3:uid="{7E3330A1-03CF-4901-B76E-0C83DDE0F101}" name="Losa LyF m2/m2" dataDxfId="113">
      <calculatedColumnFormula>IFERROR((SUMIFS(T_MLD[Losa Fondo m2],T_MLD[Codigo],T_Info[[#This Row],[Codigo]])+SUMIFS(T_MLD[Rebalse m2],T_MLD[Codigo],T_Info[[#This Row],[Codigo]]))/T_Info[[#This Row],[Superficie m2]],)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B8C66C7-AE66-4BA4-BE8C-02BF3507E446}" name="T_HA" displayName="T_HA" ref="A1:AB85" totalsRowShown="0" headerRowDxfId="112" dataDxfId="111">
  <autoFilter ref="A1:AB85" xr:uid="{1584CF29-0678-4F05-813E-F81D22DA1211}"/>
  <tableColumns count="28">
    <tableColumn id="1" xr3:uid="{5397DDA8-1762-4181-AEF7-D354CDF0F92D}" name="Codigo" dataDxfId="110"/>
    <tableColumn id="2" xr3:uid="{173A35FB-9D1E-43DF-A9E8-A1758027FA9B}" name="Proyecto" dataDxfId="109"/>
    <tableColumn id="14" xr3:uid="{258FD1AE-0B3C-4E92-B376-18B7E46A7260}" name="T.S" dataDxfId="108">
      <calculatedColumnFormula array="1">INDEX(T_Info[],MATCH(T_HA[[#This Row],[Codigo]],T_Info[Codigo],0),COLUMN(T_Info[T.S]))</calculatedColumnFormula>
    </tableColumn>
    <tableColumn id="15" xr3:uid="{002E80AC-46C8-4273-915F-1B87C03E5392}" name="Z.S" dataDxfId="107">
      <calculatedColumnFormula array="1">INDEX(T_Info[],MATCH(T_HA[[#This Row],[Codigo]],T_Info[Codigo],0),COLUMN(T_Info[Z.S]))</calculatedColumnFormula>
    </tableColumn>
    <tableColumn id="16" xr3:uid="{CFC7D7D5-0564-4C98-ACF5-A669F7FB4AC7}" name="Pisos" dataDxfId="106">
      <calculatedColumnFormula array="1">INDEX(T_Info[],MATCH(T_HA[[#This Row],[Codigo]],T_Info[Codigo],0),COLUMN(T_Info[Pisos]))</calculatedColumnFormula>
    </tableColumn>
    <tableColumn id="17" xr3:uid="{8C261E38-95B0-4287-9BCB-1DA5A8E40571}" name="Subt." dataDxfId="105">
      <calculatedColumnFormula array="1">INDEX(T_Info[],MATCH(T_HA[[#This Row],[Codigo]],T_Info[Codigo],0),COLUMN(T_Info[Subt.]))</calculatedColumnFormula>
    </tableColumn>
    <tableColumn id="18" xr3:uid="{A1465E76-85C6-48EE-9FBF-CA8FF9829A36}" name="Superficie m2" dataDxfId="104">
      <calculatedColumnFormula array="1">INDEX(T_Info[],MATCH(T_HA[[#This Row],[Codigo]],T_Info[Codigo],0),COLUMN(T_Info[Superficie m2]))</calculatedColumnFormula>
    </tableColumn>
    <tableColumn id="19" xr3:uid="{C6FF7991-5C1B-4A40-B660-561B74B75133}" name="Postensado" dataDxfId="103">
      <calculatedColumnFormula array="1">IF(INDEX(T_Info[],MATCH(T_HA[[#This Row],[Codigo]],T_Info[Codigo],0),COLUMN(T_Info[Postensado]))&lt;&gt;"",INDEX(T_Info[],MATCH(T_HA[[#This Row],[Codigo]],T_Info[Codigo],0),COLUMN(T_Info[Postensado])),"")</calculatedColumnFormula>
    </tableColumn>
    <tableColumn id="20" xr3:uid="{D94F1262-67F8-4B88-A5AF-011C406A6F01}" name="Losa Fundación" dataDxfId="102">
      <calculatedColumnFormula array="1">IF(INDEX(T_Info[],MATCH(T_HA[[#This Row],[Codigo]],T_Info[Codigo],0),COLUMN(T_Info[Losa Fundación]))&lt;&gt;"",INDEX(T_Info[],MATCH(T_HA[[#This Row],[Codigo]],T_Info[Codigo],0),COLUMN(T_Info[Losa Fundación])),"")</calculatedColumnFormula>
    </tableColumn>
    <tableColumn id="3" xr3:uid="{89927A1C-0F39-4355-B937-FA5F447662BA}" name="Fund m3" dataDxfId="101"/>
    <tableColumn id="4" xr3:uid="{057609EE-9F48-4B27-A284-0C8DEB4F0C1D}" name="Grua m3" dataDxfId="100"/>
    <tableColumn id="5" xr3:uid="{F14F2FBA-FF53-4BEE-AAE9-A557B40F7BE6}" name="Muros m3" dataDxfId="99"/>
    <tableColumn id="6" xr3:uid="{AFD0FDDE-2D5E-42F2-B1F3-F07556464098}" name="Muros Int m3" dataDxfId="98"/>
    <tableColumn id="7" xr3:uid="{1B8A57D7-AE98-4884-B4DE-C6A0D68726B6}" name="Perimetrales m3" dataDxfId="97"/>
    <tableColumn id="8" xr3:uid="{BA58CD4E-4D3A-454E-8B8A-AFC72AEC7546}" name="Vigas m3" dataDxfId="96"/>
    <tableColumn id="9" xr3:uid="{C1CB3DF5-6753-4E2B-BEDF-2D0063CBC00D}" name="Col Circulares m3" dataDxfId="95"/>
    <tableColumn id="10" xr3:uid="{4D2A9EF8-FC21-4271-AC05-0760DE8E52A7}" name="Col Cuadradas m3" dataDxfId="94"/>
    <tableColumn id="11" xr3:uid="{AC9C82DF-4FEE-43AB-8525-1CF52637DCEF}" name="Losas m3" dataDxfId="93"/>
    <tableColumn id="12" xr3:uid="{F6912489-B43E-4BD5-BF4D-B29264094ADA}" name="Escaleras m3" dataDxfId="92"/>
    <tableColumn id="22" xr3:uid="{FCE62CAF-6563-4844-9E12-AF45CB8803A8}" name="Cierro m3" dataDxfId="91"/>
    <tableColumn id="13" xr3:uid="{AA7BBDD4-7904-4FF3-9816-91CBCCDFB9F3}" name="Total m3" dataDxfId="90"/>
    <tableColumn id="21" xr3:uid="{663EA3C7-3EA5-4F42-9587-3CF179C7EF1C}" name="Fund m3/m2" dataDxfId="89">
      <calculatedColumnFormula>IFERROR(T_HA[[#This Row],[Fund m3]]/T_HA[[#This Row],[Superficie m2]],)</calculatedColumnFormula>
    </tableColumn>
    <tableColumn id="23" xr3:uid="{567B2178-5095-4D9F-BEB4-DDD512526F27}" name="Muros m3/m2" dataDxfId="88">
      <calculatedColumnFormula>IFERROR(T_HA[[#This Row],[Muros m3]]/T_HA[[#This Row],[Superficie m2]],)</calculatedColumnFormula>
    </tableColumn>
    <tableColumn id="24" xr3:uid="{328DB80D-8302-4DA0-8FD9-6D5232D93CD1}" name="Muros Int m3/m2" dataDxfId="87">
      <calculatedColumnFormula>IFERROR(T_HA[[#This Row],[Muros Int m3]]/T_HA[[#This Row],[Superficie m2]],)</calculatedColumnFormula>
    </tableColumn>
    <tableColumn id="25" xr3:uid="{C96CF9D2-7671-4F1E-8054-E790A88DE4FD}" name="Perimetrales m3/m2" dataDxfId="86">
      <calculatedColumnFormula>IFERROR(T_HA[[#This Row],[Perimetrales m3]]/T_HA[[#This Row],[Superficie m2]],)</calculatedColumnFormula>
    </tableColumn>
    <tableColumn id="26" xr3:uid="{7F93C8D9-C18B-47EE-91CC-5782A54122A0}" name="Vigas m3/m2" dataDxfId="85">
      <calculatedColumnFormula>IFERROR(T_HA[[#This Row],[Vigas m3]]/T_HA[[#This Row],[Superficie m2]],)</calculatedColumnFormula>
    </tableColumn>
    <tableColumn id="27" xr3:uid="{4FFC6C5E-D1F0-4B42-ABE8-AA9B16C7D8EB}" name="Losas m3/m2" dataDxfId="84">
      <calculatedColumnFormula>IFERROR(T_HA[[#This Row],[Losas m3]]/T_HA[[#This Row],[Superficie m2]],)</calculatedColumnFormula>
    </tableColumn>
    <tableColumn id="29" xr3:uid="{FD22FB0E-BAFC-47B7-AE83-35D6735ECF01}" name="Total m3/m2" dataDxfId="83">
      <calculatedColumnFormula>IFERROR(T_HA[[#This Row],[Total m3]]/T_HA[[#This Row],[Superficie m2]],)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53926A7-79CD-46A0-8D15-15D5E676B857}" name="T_Fe" displayName="T_Fe" ref="A1:AA85" totalsRowShown="0" headerRowDxfId="82" dataDxfId="81">
  <autoFilter ref="A1:AA85" xr:uid="{253926A7-79CD-46A0-8D15-15D5E676B857}"/>
  <tableColumns count="27">
    <tableColumn id="1" xr3:uid="{33843E72-1AD9-49A7-9B13-2AD19EA724C5}" name="Codigo" dataDxfId="80"/>
    <tableColumn id="12" xr3:uid="{43FBE07E-486F-4558-B7DB-07527D9BAC6C}" name="Proyecto" dataDxfId="79">
      <calculatedColumnFormula array="1">INDEX(T_Info[],MATCH(T_Fe[[#This Row],[Codigo]],T_Info[Codigo],0),COLUMN(T_Info[Proyecto]))</calculatedColumnFormula>
    </tableColumn>
    <tableColumn id="13" xr3:uid="{1EED9618-B96C-4092-B3E8-5E289B2F3C6C}" name="T.S" dataDxfId="78">
      <calculatedColumnFormula array="1">INDEX(T_Info[],MATCH(T_Fe[[#This Row],[Codigo]],T_Info[Codigo],0),COLUMN(T_Info[T.S]))</calculatedColumnFormula>
    </tableColumn>
    <tableColumn id="14" xr3:uid="{801F9F87-7751-49C2-8FAD-2F628379CB6E}" name="Z.S" dataDxfId="77">
      <calculatedColumnFormula array="1">INDEX(T_Info[],MATCH(T_Fe[[#This Row],[Codigo]],T_Info[Codigo],0),COLUMN(T_Info[Z.S]))</calculatedColumnFormula>
    </tableColumn>
    <tableColumn id="15" xr3:uid="{D0C626DF-9C55-4FFF-B396-59001CC60EBD}" name="Pisos" dataDxfId="76">
      <calculatedColumnFormula array="1">INDEX(T_Info[],MATCH(T_Fe[[#This Row],[Codigo]],T_Info[Codigo],0),COLUMN(T_Info[Pisos]))</calculatedColumnFormula>
    </tableColumn>
    <tableColumn id="16" xr3:uid="{A7153F84-7630-417A-B798-A7A05BE99753}" name="Subt." dataDxfId="75">
      <calculatedColumnFormula array="1">INDEX(T_Info[],MATCH(T_Fe[[#This Row],[Codigo]],T_Info[Codigo],0),COLUMN(T_Info[Subt.]))</calculatedColumnFormula>
    </tableColumn>
    <tableColumn id="17" xr3:uid="{2BE9BDB9-5743-4DF2-A869-2B2CF74897B2}" name="Superficie m2" dataDxfId="74">
      <calculatedColumnFormula array="1">INDEX(T_Info[],MATCH(T_Fe[[#This Row],[Codigo]],T_Info[Codigo],0),COLUMN(T_Info[Superficie m2]))</calculatedColumnFormula>
    </tableColumn>
    <tableColumn id="18" xr3:uid="{DFAD746D-0F99-4EF5-ADD7-D1D584CB6A4D}" name="Postensado" dataDxfId="73">
      <calculatedColumnFormula array="1">IF(INDEX(T_Info[],MATCH(T_Fe[[#This Row],[Codigo]],T_Info[Codigo],0),COLUMN(T_Info[Postensado]))&lt;&gt;"",INDEX(T_Info[],MATCH(T_Fe[[#This Row],[Codigo]],T_Info[Codigo],0),COLUMN(T_Info[Postensado])),"")</calculatedColumnFormula>
    </tableColumn>
    <tableColumn id="19" xr3:uid="{AF4668E2-5ADE-410C-A4D0-74030CE3C02B}" name="Losa Fundación" dataDxfId="72">
      <calculatedColumnFormula array="1">IF(INDEX(T_Info[],MATCH(T_Fe[[#This Row],[Codigo]],T_Info[Codigo],0),COLUMN(T_Info[Losa Fundación]))&lt;&gt;"",INDEX(T_Info[],MATCH(T_Fe[[#This Row],[Codigo]],T_Info[Codigo],0),COLUMN(T_Info[Losa Fundación])),"")</calculatedColumnFormula>
    </tableColumn>
    <tableColumn id="2" xr3:uid="{9E3EC96B-1EFB-46CB-B76D-EAD15ECFDCC1}" name="Fund kg" dataDxfId="71"/>
    <tableColumn id="3" xr3:uid="{C2626FF4-DAC4-4530-9008-5F3DD6486285}" name="Grua kg" dataDxfId="70"/>
    <tableColumn id="4" xr3:uid="{A1B0EAB2-AFE5-42A5-B1FB-1F12E4678498}" name="Muros kg" dataDxfId="69"/>
    <tableColumn id="5" xr3:uid="{70755E6A-6507-4F9B-808E-1F798A5863E7}" name="Perimetrales kg" dataDxfId="68"/>
    <tableColumn id="6" xr3:uid="{D63C357A-AFA8-44A8-B2D8-F41C862F09E9}" name="Vigas kg" dataDxfId="67"/>
    <tableColumn id="7" xr3:uid="{48D1381E-C832-4802-83E5-E3E77FB8A9F8}" name="Col Circulares Kg" dataDxfId="66"/>
    <tableColumn id="8" xr3:uid="{48FBF100-B50A-47A3-B214-19CB8C817DD3}" name="Col Cuadradas kg" dataDxfId="65"/>
    <tableColumn id="9" xr3:uid="{6378CC46-E46A-4946-9F84-1E5EBB5CD447}" name="Losas kg" dataDxfId="64"/>
    <tableColumn id="26" xr3:uid="{7BFD33F3-8F25-45E1-9BEC-AAB134A899E4}" name="Postensado kg" dataDxfId="63"/>
    <tableColumn id="10" xr3:uid="{5EE279D3-AC61-43C0-A61A-A7B525D6D462}" name="Escaleras kg" dataDxfId="62"/>
    <tableColumn id="27" xr3:uid="{20A66415-15A9-49CA-856B-892CE45AF9D1}" name="Cierros kg" dataDxfId="61"/>
    <tableColumn id="11" xr3:uid="{D890FCA1-0A43-428B-A8D2-59A76AC9F6BD}" name="Total kg" dataDxfId="60">
      <calculatedColumnFormula>SUM(T_Fe[[#This Row],[Fund kg]:[Cierros kg]])</calculatedColumnFormula>
    </tableColumn>
    <tableColumn id="20" xr3:uid="{3B78BF17-C3CF-4BC1-90A6-4D5F4A28625F}" name="Fund kg/m2" dataDxfId="59">
      <calculatedColumnFormula>IFERROR(T_Fe[[#This Row],[Fund kg]]/T_Fe[[#This Row],[Superficie m2]],)</calculatedColumnFormula>
    </tableColumn>
    <tableColumn id="21" xr3:uid="{9D3774F6-398C-4734-8818-041CCBF4DCD8}" name="Muros kg/m2" dataDxfId="58">
      <calculatedColumnFormula>IFERROR(T_Fe[[#This Row],[Muros kg]]/T_Fe[[#This Row],[Superficie m2]],)</calculatedColumnFormula>
    </tableColumn>
    <tableColumn id="22" xr3:uid="{9BFE28BA-0B26-4FB7-BC13-6A1246ED52E5}" name="Perimetrales kg/m2" dataDxfId="57">
      <calculatedColumnFormula>IFERROR(T_Fe[[#This Row],[Perimetrales kg]]/T_Fe[[#This Row],[Superficie m2]],)</calculatedColumnFormula>
    </tableColumn>
    <tableColumn id="23" xr3:uid="{9190ADF2-7BA3-4462-93D4-E9F7219207C8}" name="Vigas kg/m2" dataDxfId="56">
      <calculatedColumnFormula>IFERROR(T_Fe[[#This Row],[Vigas kg]]/T_Fe[[#This Row],[Superficie m2]],)</calculatedColumnFormula>
    </tableColumn>
    <tableColumn id="24" xr3:uid="{8C9E642A-2EBF-488E-84F1-B34BF1B642C2}" name="Losas kg/m2" dataDxfId="55">
      <calculatedColumnFormula>IFERROR(T_Fe[[#This Row],[Losas kg]]/T_Fe[[#This Row],[Superficie m2]],)</calculatedColumnFormula>
    </tableColumn>
    <tableColumn id="25" xr3:uid="{3E66E12D-0D9E-4E99-834B-FA44C0A1292B}" name="Total kg/m2" dataDxfId="54">
      <calculatedColumnFormula>IFERROR(T_Fe[[#This Row],[Total kg]]/T_Fe[[#This Row],[Superficie m2]],)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C1F6971-6980-4B6D-BEF7-B6B602D267CB}" name="T_MLD" displayName="T_MLD" ref="A1:T85" totalsRowShown="0" headerRowDxfId="53" dataDxfId="52">
  <autoFilter ref="A1:T85" xr:uid="{9C1F6971-6980-4B6D-BEF7-B6B602D267CB}"/>
  <tableColumns count="20">
    <tableColumn id="1" xr3:uid="{0EB7CF43-6B20-4BBB-B51A-B44E20408335}" name="Codigo" dataDxfId="51"/>
    <tableColumn id="13" xr3:uid="{BA113184-3EC8-4C81-BE75-8BD8F4D15370}" name="Proyecto" dataDxfId="50">
      <calculatedColumnFormula array="1">INDEX(T_Info[],MATCH(T_MLD[[#This Row],[Codigo]],T_Info[Codigo],0),COLUMN(T_Info[Proyecto]))</calculatedColumnFormula>
    </tableColumn>
    <tableColumn id="14" xr3:uid="{750C38C1-79CA-4507-B9B7-3C1835E08496}" name="T.S" dataDxfId="49">
      <calculatedColumnFormula array="1">INDEX(T_Info[],MATCH(T_MLD[[#This Row],[Codigo]],T_Info[Codigo],0),COLUMN(T_Info[T.S]))</calculatedColumnFormula>
    </tableColumn>
    <tableColumn id="15" xr3:uid="{737BFFBE-4558-41C3-9AFD-46AC3D917AD4}" name="Z.S" dataDxfId="48">
      <calculatedColumnFormula array="1">INDEX(T_Info[],MATCH(T_MLD[[#This Row],[Codigo]],T_Info[Codigo],0),COLUMN(T_Info[Z.S]))</calculatedColumnFormula>
    </tableColumn>
    <tableColumn id="16" xr3:uid="{DC86E995-2F6A-4310-A94E-61FF1708CB27}" name="Pisos" dataDxfId="47">
      <calculatedColumnFormula array="1">INDEX(T_Info[],MATCH(T_MLD[[#This Row],[Codigo]],T_Info[Codigo],0),COLUMN(T_Info[Pisos]))</calculatedColumnFormula>
    </tableColumn>
    <tableColumn id="17" xr3:uid="{EF479E59-085C-47C6-A75B-032CB86D7CA6}" name="Subt." dataDxfId="46">
      <calculatedColumnFormula array="1">INDEX(T_Info[],MATCH(T_MLD[[#This Row],[Codigo]],T_Info[Codigo],0),COLUMN(T_Info[Subt.]))</calculatedColumnFormula>
    </tableColumn>
    <tableColumn id="18" xr3:uid="{4A4D29B4-E5F5-4E73-8991-85CFACD2BC6B}" name="Superficie m2" dataDxfId="45">
      <calculatedColumnFormula array="1">INDEX(T_Info[],MATCH(T_MLD[[#This Row],[Codigo]],T_Info[Codigo],0),COLUMN(T_Info[Superficie m2]))</calculatedColumnFormula>
    </tableColumn>
    <tableColumn id="19" xr3:uid="{3A57EEC4-3CC5-4D78-9111-8F7CCB29653A}" name="Postensado" dataDxfId="44">
      <calculatedColumnFormula array="1">IF(INDEX(T_Info[],MATCH(T_MLD[[#This Row],[Codigo]],T_Info[Codigo],0),COLUMN(T_Info[Postensado]))&lt;&gt;"",INDEX(T_Info[],MATCH(T_MLD[[#This Row],[Codigo]],T_Info[Codigo],0),COLUMN(T_Info[Postensado])),"")</calculatedColumnFormula>
    </tableColumn>
    <tableColumn id="20" xr3:uid="{66889A9B-4327-4798-9E49-8EA2F11D99E0}" name="Losa Fundación" dataDxfId="43">
      <calculatedColumnFormula array="1">IF(INDEX(T_Info[],MATCH(T_MLD[[#This Row],[Codigo]],T_Info[Codigo],0),COLUMN(T_Info[Losa Fundación]))&lt;&gt;"",INDEX(T_Info[],MATCH(T_MLD[[#This Row],[Codigo]],T_Info[Codigo],0),COLUMN(T_Info[Losa Fundación])),"")</calculatedColumnFormula>
    </tableColumn>
    <tableColumn id="2" xr3:uid="{FC08FA33-509B-4137-B88E-7DB18A98CA5F}" name="Fund Lat m2" dataDxfId="42"/>
    <tableColumn id="3" xr3:uid="{B8FB1588-7C88-479B-AE88-FE7E702F7961}" name="Grua m2" dataDxfId="41"/>
    <tableColumn id="4" xr3:uid="{2185BBCA-05E6-4C21-968E-B4930FA5B0F7}" name="Muro m2" dataDxfId="40"/>
    <tableColumn id="5" xr3:uid="{6E9E475A-167F-48EE-8E21-7AB64AB262CD}" name="Viga Lat m2" dataDxfId="39"/>
    <tableColumn id="6" xr3:uid="{57F274C0-482C-4B38-831C-045C0990AAE7}" name="Viga Fondo m2" dataDxfId="38"/>
    <tableColumn id="7" xr3:uid="{880EF84A-5087-4E10-AC3E-391C960395D5}" name="Col Circular m2" dataDxfId="37"/>
    <tableColumn id="8" xr3:uid="{E1F84639-AF03-401B-B642-4F054ADFD193}" name="Col Cuadrada m2" dataDxfId="36"/>
    <tableColumn id="9" xr3:uid="{D1887EB2-6859-4E92-8651-469183649864}" name="Losa Fondo m2" dataDxfId="35"/>
    <tableColumn id="10" xr3:uid="{D7737433-68CA-47F3-B65B-36A856A79046}" name="Rebalse m2" dataDxfId="34"/>
    <tableColumn id="11" xr3:uid="{9C02FB2D-E32B-4ADC-928E-07B7A621D442}" name="Escalera m2" dataDxfId="33"/>
    <tableColumn id="12" xr3:uid="{57FB8FAD-CF96-41AD-866B-BF5E5824FFF8}" name="Total m2" dataDxfId="3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CDC460C-3D7F-4987-A2DA-20D7B3B03041}" name="T_Losas" displayName="T_Losas" ref="A2:Z33" totalsRowShown="0" headerRowDxfId="31" dataDxfId="30">
  <autoFilter ref="A2:Z33" xr:uid="{3CDC460C-3D7F-4987-A2DA-20D7B3B03041}"/>
  <tableColumns count="26">
    <tableColumn id="1" xr3:uid="{10B84B7F-4B16-4E5B-913B-AE91BCBAB53C}" name="Código" dataDxfId="29"/>
    <tableColumn id="2" xr3:uid="{08972B4F-B660-46C0-A36C-38D00C0F09CE}" name="Proyecto" dataDxfId="28"/>
    <tableColumn id="3" xr3:uid="{628483EB-9ACA-4F92-949E-6FFD9792E703}" name="Peso SI" dataDxfId="27"/>
    <tableColumn id="4" xr3:uid="{3BA99EA2-4A73-451D-AA50-92B5B97689A4}" name="Volumen SI" dataDxfId="26"/>
    <tableColumn id="5" xr3:uid="{5CCD8CF5-B786-4ACD-B5D3-382DAF02D314}" name="Area SI" dataDxfId="25"/>
    <tableColumn id="6" xr3:uid="{9E7FB655-CA29-40EF-8EAC-238CB41DE046}" name="Indice SI" dataDxfId="24">
      <calculatedColumnFormula>IFERROR(T_Losas[[#This Row],[Peso SI]]/T_Losas[[#This Row],[Area SI]],)</calculatedColumnFormula>
    </tableColumn>
    <tableColumn id="7" xr3:uid="{6659D4D9-E137-4603-8FE4-ED53E6815183}" name="Peso S1" dataDxfId="23"/>
    <tableColumn id="8" xr3:uid="{9E03FEFB-BD14-45C4-A6D7-FBD5BC49D068}" name="Volumen S1" dataDxfId="22"/>
    <tableColumn id="9" xr3:uid="{280F3CDC-8A56-47EE-98BA-7BCB0A19FC9D}" name="Área S1" dataDxfId="21"/>
    <tableColumn id="10" xr3:uid="{C0B6A0D6-B3B2-44CC-A8DE-FED1B23725EB}" name="Indice S1" dataDxfId="20">
      <calculatedColumnFormula>IFERROR(T_Losas[[#This Row],[Peso S1]]/T_Losas[[#This Row],[Área S1]],)</calculatedColumnFormula>
    </tableColumn>
    <tableColumn id="11" xr3:uid="{F948A21B-BB5C-4AE9-ADE9-77DD1E064C7A}" name="Peso P1" dataDxfId="19"/>
    <tableColumn id="12" xr3:uid="{F4F6FC57-E85D-49D8-BC6B-DF048B6AE629}" name="Volumen P1" dataDxfId="18"/>
    <tableColumn id="13" xr3:uid="{A78440EB-EDD9-40C8-A3D9-834FAC8C4869}" name="Área P1" dataDxfId="17"/>
    <tableColumn id="14" xr3:uid="{439D7366-1760-4351-B879-B648AB33DF10}" name="Indice P1" dataDxfId="16">
      <calculatedColumnFormula>IFERROR(T_Losas[[#This Row],[Peso P1]]/T_Losas[[#This Row],[Área P1]],)</calculatedColumnFormula>
    </tableColumn>
    <tableColumn id="15" xr3:uid="{99A7CBC9-C7AC-426F-ADCF-C09422FD6609}" name="Peso PT" dataDxfId="15"/>
    <tableColumn id="16" xr3:uid="{C89F831C-1EDD-4621-AE0C-20168A356FA2}" name="Volumen PT" dataDxfId="14"/>
    <tableColumn id="17" xr3:uid="{7BFC260F-6EC2-4583-83C9-51852D4C0DC3}" name="Área PT" dataDxfId="13"/>
    <tableColumn id="18" xr3:uid="{7C84D590-848B-4B46-9252-A1FEFFC98AF9}" name="Indice PT" dataDxfId="12">
      <calculatedColumnFormula>IFERROR(T_Losas[[#This Row],[Peso PT]]/T_Losas[[#This Row],[Área PT]],)</calculatedColumnFormula>
    </tableColumn>
    <tableColumn id="19" xr3:uid="{0E5997CF-3E5A-4E85-9230-EAA0A901C7D1}" name="Peso PS" dataDxfId="11"/>
    <tableColumn id="20" xr3:uid="{30BCEE14-1DE0-457F-B88F-1A8CEDB0CE1B}" name="Volumen PS" dataDxfId="10"/>
    <tableColumn id="21" xr3:uid="{41254098-B5B0-4E67-9807-E6366400047C}" name="Área PS" dataDxfId="9"/>
    <tableColumn id="22" xr3:uid="{F2AE73F6-457E-4488-AFA3-032B02DF000F}" name="Indice PS" dataDxfId="8">
      <calculatedColumnFormula>IFERROR(T_Losas[[#This Row],[Peso PS]]/T_Losas[[#This Row],[Área PS]],)</calculatedColumnFormula>
    </tableColumn>
    <tableColumn id="23" xr3:uid="{51C2875B-F0ED-4EE9-899E-59BAB63B8133}" name="Peso" dataDxfId="7"/>
    <tableColumn id="24" xr3:uid="{288A310F-9EF7-4C2F-A022-55B4647D89F1}" name="Volumen" dataDxfId="6"/>
    <tableColumn id="25" xr3:uid="{C5D6FCA8-2E84-478C-966B-E7A0351C30FB}" name="Área" dataDxfId="5"/>
    <tableColumn id="26" xr3:uid="{BA8A3EEB-F604-4669-AF16-43311829FABE}" name="Indice" dataDxfId="4">
      <calculatedColumnFormula>IFERROR(T_Losas[[#This Row],[Peso]]/T_Losas[[#This Row],[Área]],)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0CA668-73AC-4C43-BBEB-4AE0B50B0ACE}">
  <dimension ref="A1:AR103"/>
  <sheetViews>
    <sheetView tabSelected="1" zoomScaleNormal="100" workbookViewId="0">
      <pane xSplit="3" ySplit="1" topLeftCell="D2" activePane="bottomRight" state="frozen"/>
      <selection pane="topRight" activeCell="D1" sqref="D1"/>
      <selection pane="bottomLeft" activeCell="A3" sqref="A3"/>
      <selection pane="bottomRight" activeCell="D13" sqref="D13"/>
    </sheetView>
  </sheetViews>
  <sheetFormatPr defaultColWidth="11.42578125" defaultRowHeight="15" x14ac:dyDescent="0.25"/>
  <cols>
    <col min="1" max="1" width="5.85546875" style="6" bestFit="1" customWidth="1"/>
    <col min="2" max="2" width="9.42578125" style="6" bestFit="1" customWidth="1"/>
    <col min="3" max="3" width="25" style="6" bestFit="1" customWidth="1"/>
    <col min="4" max="4" width="14" style="6" bestFit="1" customWidth="1"/>
    <col min="5" max="6" width="6.42578125" style="6" bestFit="1" customWidth="1"/>
    <col min="7" max="8" width="8" style="6" bestFit="1" customWidth="1"/>
    <col min="9" max="9" width="15" style="6" bestFit="1" customWidth="1"/>
    <col min="10" max="10" width="13.5703125" style="6" bestFit="1" customWidth="1"/>
    <col min="11" max="11" width="12.42578125" style="6" bestFit="1" customWidth="1"/>
    <col min="12" max="12" width="14" style="6" bestFit="1" customWidth="1"/>
    <col min="13" max="13" width="11.7109375" style="6" bestFit="1" customWidth="1"/>
    <col min="14" max="14" width="10.5703125" style="6" bestFit="1" customWidth="1"/>
    <col min="15" max="15" width="11.85546875" style="6" customWidth="1"/>
    <col min="16" max="16" width="16.28515625" style="6" customWidth="1"/>
    <col min="17" max="17" width="16.7109375" style="6" bestFit="1" customWidth="1"/>
    <col min="18" max="18" width="17.5703125" style="6" bestFit="1" customWidth="1"/>
    <col min="19" max="19" width="18.42578125" style="6" bestFit="1" customWidth="1"/>
    <col min="20" max="20" width="19.140625" style="6" bestFit="1" customWidth="1"/>
    <col min="21" max="21" width="13.5703125" style="6" bestFit="1" customWidth="1"/>
    <col min="22" max="22" width="13.5703125" style="6" customWidth="1"/>
    <col min="23" max="23" width="14.7109375" style="6" bestFit="1" customWidth="1"/>
    <col min="24" max="24" width="20.5703125" style="6" bestFit="1" customWidth="1"/>
    <col min="25" max="26" width="14.140625" style="6" bestFit="1" customWidth="1"/>
    <col min="27" max="27" width="13.5703125" style="6" bestFit="1" customWidth="1"/>
    <col min="28" max="28" width="14.7109375" style="6" bestFit="1" customWidth="1"/>
    <col min="29" max="29" width="20.5703125" style="6" bestFit="1" customWidth="1"/>
    <col min="30" max="31" width="14.140625" style="6" bestFit="1" customWidth="1"/>
    <col min="32" max="32" width="13.85546875" style="6" bestFit="1" customWidth="1"/>
    <col min="33" max="33" width="15.140625" style="6" bestFit="1" customWidth="1"/>
    <col min="34" max="34" width="21" style="6" bestFit="1" customWidth="1"/>
    <col min="35" max="36" width="14.42578125" style="6" bestFit="1" customWidth="1"/>
    <col min="37" max="37" width="15.28515625" style="6" bestFit="1" customWidth="1"/>
    <col min="38" max="38" width="17.5703125" style="6" bestFit="1" customWidth="1"/>
    <col min="39" max="40" width="17" style="6" bestFit="1" customWidth="1"/>
    <col min="41" max="41" width="15.28515625" style="6" bestFit="1" customWidth="1"/>
    <col min="42" max="42" width="17.5703125" style="6" bestFit="1" customWidth="1"/>
    <col min="43" max="44" width="17" style="6" bestFit="1" customWidth="1"/>
    <col min="45" max="16384" width="11.42578125" style="6"/>
  </cols>
  <sheetData>
    <row r="1" spans="1:44" ht="30.75" thickBot="1" x14ac:dyDescent="0.3">
      <c r="A1" s="37" t="s">
        <v>75</v>
      </c>
      <c r="B1" s="38" t="s">
        <v>146</v>
      </c>
      <c r="C1" s="38" t="s">
        <v>7</v>
      </c>
      <c r="D1" s="38" t="s">
        <v>250</v>
      </c>
      <c r="E1" s="37" t="s">
        <v>77</v>
      </c>
      <c r="F1" s="38" t="s">
        <v>76</v>
      </c>
      <c r="G1" s="38" t="s">
        <v>79</v>
      </c>
      <c r="H1" s="38" t="s">
        <v>78</v>
      </c>
      <c r="I1" s="38" t="s">
        <v>219</v>
      </c>
      <c r="J1" s="38" t="s">
        <v>141</v>
      </c>
      <c r="K1" s="38" t="s">
        <v>142</v>
      </c>
      <c r="L1" s="39" t="s">
        <v>192</v>
      </c>
      <c r="M1" s="41" t="s">
        <v>167</v>
      </c>
      <c r="N1" s="41" t="s">
        <v>168</v>
      </c>
      <c r="O1" s="41" t="s">
        <v>169</v>
      </c>
      <c r="P1" s="40" t="s">
        <v>143</v>
      </c>
      <c r="Q1" s="41" t="s">
        <v>144</v>
      </c>
      <c r="R1" s="41" t="s">
        <v>145</v>
      </c>
      <c r="S1" s="41" t="s">
        <v>181</v>
      </c>
      <c r="T1" s="42" t="s">
        <v>191</v>
      </c>
      <c r="U1" s="38" t="s">
        <v>175</v>
      </c>
      <c r="V1" s="38" t="s">
        <v>198</v>
      </c>
      <c r="W1" s="38" t="s">
        <v>176</v>
      </c>
      <c r="X1" s="38" t="s">
        <v>177</v>
      </c>
      <c r="Y1" s="38" t="s">
        <v>178</v>
      </c>
      <c r="Z1" s="39" t="s">
        <v>179</v>
      </c>
      <c r="AA1" s="37" t="s">
        <v>170</v>
      </c>
      <c r="AB1" s="38" t="s">
        <v>171</v>
      </c>
      <c r="AC1" s="38" t="s">
        <v>172</v>
      </c>
      <c r="AD1" s="38" t="s">
        <v>173</v>
      </c>
      <c r="AE1" s="39" t="s">
        <v>174</v>
      </c>
      <c r="AF1" s="37" t="s">
        <v>182</v>
      </c>
      <c r="AG1" s="38" t="s">
        <v>183</v>
      </c>
      <c r="AH1" s="38" t="s">
        <v>184</v>
      </c>
      <c r="AI1" s="38" t="s">
        <v>185</v>
      </c>
      <c r="AJ1" s="39" t="s">
        <v>186</v>
      </c>
      <c r="AK1" s="37" t="s">
        <v>200</v>
      </c>
      <c r="AL1" s="38" t="s">
        <v>199</v>
      </c>
      <c r="AM1" s="38" t="s">
        <v>201</v>
      </c>
      <c r="AN1" s="39" t="s">
        <v>202</v>
      </c>
      <c r="AO1" s="37" t="s">
        <v>203</v>
      </c>
      <c r="AP1" s="38" t="s">
        <v>204</v>
      </c>
      <c r="AQ1" s="38" t="s">
        <v>205</v>
      </c>
      <c r="AR1" s="39" t="s">
        <v>206</v>
      </c>
    </row>
    <row r="2" spans="1:44" x14ac:dyDescent="0.25">
      <c r="A2" s="51">
        <v>1</v>
      </c>
      <c r="B2" s="43">
        <v>12010</v>
      </c>
      <c r="C2" s="44" t="s">
        <v>81</v>
      </c>
      <c r="D2" s="6" t="s">
        <v>255</v>
      </c>
      <c r="E2" s="45" t="s">
        <v>82</v>
      </c>
      <c r="F2" s="34">
        <v>2</v>
      </c>
      <c r="G2" s="34">
        <v>18</v>
      </c>
      <c r="H2" s="34">
        <v>3</v>
      </c>
      <c r="I2" s="33">
        <v>15957</v>
      </c>
      <c r="J2" s="30"/>
      <c r="K2" s="53"/>
      <c r="L2" s="46"/>
      <c r="M2" s="47">
        <f>SUMIFS(T_Fe[Total kg],T_Fe[Codigo],T_Info[[#This Row],[Codigo]])</f>
        <v>0</v>
      </c>
      <c r="N2" s="33">
        <f>SUMIFS(T_HA[Total m3],T_HA[Codigo],T_Info[[#This Row],[Codigo]])</f>
        <v>0</v>
      </c>
      <c r="O2" s="48">
        <f>SUMIFS(T_MLD[Total m2],T_MLD[Codigo],T_Info[[#This Row],[Codigo]])</f>
        <v>0</v>
      </c>
      <c r="P2" s="49">
        <f>IFERROR(T_Info[[#This Row],[Fe (kg)]]/T_Info[[#This Row],[HA (m3)]],)</f>
        <v>0</v>
      </c>
      <c r="Q2" s="22">
        <f>IFERROR(T_Info[[#This Row],[Fe (kg)]]/T_Info[[#This Row],[Superficie m2]],)</f>
        <v>0</v>
      </c>
      <c r="R2" s="22">
        <f>IFERROR(T_Info[[#This Row],[HA (m3)]]/T_Info[[#This Row],[Superficie m2]],)</f>
        <v>0</v>
      </c>
      <c r="S2" s="22">
        <f>IFERROR(T_Info[[#This Row],[HA (m3)]]/T_Info[[#This Row],[MLD (m2)]],)</f>
        <v>0</v>
      </c>
      <c r="T2" s="50">
        <f>IFERROR(T_Info[[#This Row],[MLD (m2)]]/T_Info[[#This Row],[Superficie m2]],)</f>
        <v>0</v>
      </c>
      <c r="U2" s="49">
        <f>IFERROR(SUMIFS(T_Fe[Fund kg],T_Fe[Codigo],T_Info[[#This Row],[Codigo]])/SUMIFS(T_HA[Fund m3],T_HA[Codigo],T_Info[[#This Row],[Codigo]]),)</f>
        <v>0</v>
      </c>
      <c r="V2" s="22">
        <f>IFERROR(SUMIFS(T_Fe[Grua kg],T_Fe[Codigo],T_Info[[#This Row],[Codigo]])/SUMIFS(T_HA[Grua m3],T_HA[Codigo],T_Info[[#This Row],[Codigo]]),)</f>
        <v>0</v>
      </c>
      <c r="W2" s="22">
        <f>IFERROR(SUMIFS(T_Fe[Muros kg],T_Fe[Codigo],T_Info[[#This Row],[Codigo]])/SUMIFS(T_HA[Muros Int m3],T_HA[Codigo],T_Info[[#This Row],[Codigo]]),)</f>
        <v>0</v>
      </c>
      <c r="X2" s="22">
        <f>IFERROR(SUMIFS(T_Fe[Perimetrales kg],T_Fe[Codigo],T_Info[[#This Row],[Codigo]])/SUMIFS(T_HA[Perimetrales m3],T_HA[Codigo],T_Info[[#This Row],[Codigo]]),)</f>
        <v>0</v>
      </c>
      <c r="Y2" s="22">
        <f>IFERROR(SUMIFS(T_Fe[Vigas kg],T_Fe[Codigo],T_Info[[#This Row],[Codigo]])/SUMIFS(T_HA[Vigas m3],T_HA[Codigo],T_Info[[#This Row],[Codigo]]),)</f>
        <v>0</v>
      </c>
      <c r="Z2" s="50">
        <f>IFERROR(SUMIFS(T_Fe[Losas kg],T_Fe[Codigo],T_Info[[#This Row],[Codigo]])/SUMIFS(T_HA[Losas m3],T_HA[Codigo],T_Info[[#This Row],[Codigo]]),)</f>
        <v>0</v>
      </c>
      <c r="AA2" s="49">
        <f>SUMIFS(T_Fe[Fund kg/m2],T_Fe[Codigo],T_Info[[#This Row],[Codigo]])</f>
        <v>0</v>
      </c>
      <c r="AB2" s="22">
        <f>SUMIFS(T_Fe[Muros kg/m2],T_Fe[Codigo],T_Info[[#This Row],[Codigo]])</f>
        <v>0</v>
      </c>
      <c r="AC2" s="22">
        <f>SUMIFS(T_Fe[Perimetrales kg/m2],T_Fe[Codigo],T_Info[[#This Row],[Codigo]])</f>
        <v>0</v>
      </c>
      <c r="AD2" s="22">
        <f>SUMIFS(T_Fe[Vigas kg/m2],T_Fe[Codigo],T_Info[[#This Row],[Codigo]])</f>
        <v>0</v>
      </c>
      <c r="AE2" s="50">
        <f>SUMIFS(T_Fe[Losas kg/m2],T_Fe[Codigo],T_Info[[#This Row],[Codigo]])</f>
        <v>0</v>
      </c>
      <c r="AF2" s="49">
        <f>IFERROR(SUMIFS(T_HA[Fund m3/m2],T_HA[Codigo],T_Info[[#This Row],[Codigo]]),)</f>
        <v>0</v>
      </c>
      <c r="AG2" s="22">
        <f>IFERROR(SUMIFS(T_HA[Muros Int m3/m2],T_HA[Codigo],T_Info[[#This Row],[Codigo]]),)</f>
        <v>0</v>
      </c>
      <c r="AH2" s="22">
        <f>IFERROR(SUMIFS(T_HA[Perimetrales m3/m2],T_HA[Codigo],T_Info[[#This Row],[Codigo]]),)</f>
        <v>0</v>
      </c>
      <c r="AI2" s="22">
        <f>IFERROR(SUMIFS(T_HA[Vigas m3/m2],T_HA[Codigo],T_Info[[#This Row],[Codigo]]),)</f>
        <v>0</v>
      </c>
      <c r="AJ2" s="50">
        <f>IFERROR(SUMIFS(T_HA[Losas m3/m2],T_HA[Codigo],T_Info[[#This Row],[Codigo]]),)</f>
        <v>0</v>
      </c>
      <c r="AK2" s="22">
        <f>IFERROR(SUMIFS(T_HA[Fund m3],T_HA[Codigo],T_Info[[#This Row],[Codigo]])/SUMIFS(T_MLD[Fund Lat m2],T_MLD[Codigo],T_Info[[#This Row],[Codigo]]),)</f>
        <v>0</v>
      </c>
      <c r="AL2" s="22">
        <f>IFERROR(SUMIFS(T_HA[Muros m3],T_HA[Codigo],T_Info[[#This Row],[Codigo]])/SUMIFS(T_MLD[Muro m2],T_MLD[Codigo],T_Info[[#This Row],[Codigo]]),)</f>
        <v>0</v>
      </c>
      <c r="AM2" s="22">
        <f>IFERROR(SUMIFS(T_HA[Vigas m3],T_HA[Codigo],T_Info[[#This Row],[Codigo]])/(SUMIFS(T_MLD[Viga Lat m2],T_MLD[Codigo],T_Info[[#This Row],[Codigo]])+SUMIFS(T_MLD[Viga Fondo m2],T_MLD[Codigo],T_Info[[#This Row],[Codigo]])),)</f>
        <v>0</v>
      </c>
      <c r="AN2" s="22">
        <f>IFERROR(SUMIFS(T_HA[Losas m3],T_HA[Codigo],T_Info[[#This Row],[Codigo]])/(SUMIFS(T_MLD[Losa Fondo m2],T_MLD[Codigo],T_Info[[#This Row],[Codigo]])+SUMIFS(T_MLD[Rebalse m2],T_MLD[Codigo],T_Info[[#This Row],[Codigo]])),)</f>
        <v>0</v>
      </c>
      <c r="AO2" s="49">
        <f>IFERROR(SUMIFS(T_MLD[Fund Lat m2],T_MLD[Codigo],T_Info[[#This Row],[Codigo]])/T_Info[[#This Row],[Superficie m2]],)</f>
        <v>0</v>
      </c>
      <c r="AP2" s="22">
        <f>IFERROR(SUMIFS(T_MLD[Muro m2],T_MLD[Codigo],T_Info[[#This Row],[Codigo]])/T_Info[[#This Row],[Superficie m2]],)</f>
        <v>0</v>
      </c>
      <c r="AQ2" s="22">
        <f>IFERROR((SUMIFS(T_MLD[Viga Lat m2],T_MLD[Codigo],T_Info[[#This Row],[Codigo]])+SUMIFS(T_MLD[Viga Fondo m2],T_MLD[Codigo],T_Info[[#This Row],[Codigo]]))/T_Info[[#This Row],[Superficie m2]],)</f>
        <v>0</v>
      </c>
      <c r="AR2" s="50">
        <f>IFERROR((SUMIFS(T_MLD[Losa Fondo m2],T_MLD[Codigo],T_Info[[#This Row],[Codigo]])+SUMIFS(T_MLD[Rebalse m2],T_MLD[Codigo],T_Info[[#This Row],[Codigo]]))/T_Info[[#This Row],[Superficie m2]],)</f>
        <v>0</v>
      </c>
    </row>
    <row r="3" spans="1:44" x14ac:dyDescent="0.25">
      <c r="A3" s="52">
        <v>2</v>
      </c>
      <c r="B3" s="34">
        <v>13014</v>
      </c>
      <c r="C3" s="46" t="s">
        <v>83</v>
      </c>
      <c r="D3" s="6" t="s">
        <v>255</v>
      </c>
      <c r="E3" s="45" t="s">
        <v>80</v>
      </c>
      <c r="F3" s="34">
        <v>2</v>
      </c>
      <c r="G3" s="34">
        <v>6</v>
      </c>
      <c r="H3" s="34">
        <v>2</v>
      </c>
      <c r="I3" s="33">
        <v>8635</v>
      </c>
      <c r="J3" s="30"/>
      <c r="K3" s="53"/>
      <c r="L3" s="46"/>
      <c r="M3" s="47">
        <f>SUMIFS(T_Fe[Total kg],T_Fe[Codigo],T_Info[[#This Row],[Codigo]])</f>
        <v>223758.86040000001</v>
      </c>
      <c r="N3" s="33">
        <f>SUMIFS(T_HA[Total m3],T_HA[Codigo],T_Info[[#This Row],[Codigo]])</f>
        <v>0</v>
      </c>
      <c r="O3" s="48">
        <f>SUMIFS(T_MLD[Total m2],T_MLD[Codigo],T_Info[[#This Row],[Codigo]])</f>
        <v>0</v>
      </c>
      <c r="P3" s="49">
        <f>IFERROR(T_Info[[#This Row],[Fe (kg)]]/T_Info[[#This Row],[HA (m3)]],)</f>
        <v>0</v>
      </c>
      <c r="Q3" s="22">
        <f>IFERROR(T_Info[[#This Row],[Fe (kg)]]/T_Info[[#This Row],[Superficie m2]],)</f>
        <v>25.913012206137811</v>
      </c>
      <c r="R3" s="22">
        <f>IFERROR(T_Info[[#This Row],[HA (m3)]]/T_Info[[#This Row],[Superficie m2]],)</f>
        <v>0</v>
      </c>
      <c r="S3" s="22">
        <f>IFERROR(T_Info[[#This Row],[HA (m3)]]/T_Info[[#This Row],[MLD (m2)]],)</f>
        <v>0</v>
      </c>
      <c r="T3" s="50">
        <f>IFERROR(T_Info[[#This Row],[MLD (m2)]]/T_Info[[#This Row],[Superficie m2]],)</f>
        <v>0</v>
      </c>
      <c r="U3" s="49">
        <f>IFERROR(SUMIFS(T_Fe[Fund kg],T_Fe[Codigo],T_Info[[#This Row],[Codigo]])/SUMIFS(T_HA[Fund m3],T_HA[Codigo],T_Info[[#This Row],[Codigo]]),)</f>
        <v>0</v>
      </c>
      <c r="V3" s="22">
        <f>IFERROR(SUMIFS(T_Fe[Grua kg],T_Fe[Codigo],T_Info[[#This Row],[Codigo]])/SUMIFS(T_HA[Grua m3],T_HA[Codigo],T_Info[[#This Row],[Codigo]]),)</f>
        <v>0</v>
      </c>
      <c r="W3" s="22">
        <f>IFERROR(SUMIFS(T_Fe[Muros kg],T_Fe[Codigo],T_Info[[#This Row],[Codigo]])/SUMIFS(T_HA[Muros Int m3],T_HA[Codigo],T_Info[[#This Row],[Codigo]]),)</f>
        <v>0</v>
      </c>
      <c r="X3" s="22">
        <f>IFERROR(SUMIFS(T_Fe[Perimetrales kg],T_Fe[Codigo],T_Info[[#This Row],[Codigo]])/SUMIFS(T_HA[Perimetrales m3],T_HA[Codigo],T_Info[[#This Row],[Codigo]]),)</f>
        <v>0</v>
      </c>
      <c r="Y3" s="22">
        <f>IFERROR(SUMIFS(T_Fe[Vigas kg],T_Fe[Codigo],T_Info[[#This Row],[Codigo]])/SUMIFS(T_HA[Vigas m3],T_HA[Codigo],T_Info[[#This Row],[Codigo]]),)</f>
        <v>0</v>
      </c>
      <c r="Z3" s="50">
        <f>IFERROR(SUMIFS(T_Fe[Losas kg],T_Fe[Codigo],T_Info[[#This Row],[Codigo]])/SUMIFS(T_HA[Losas m3],T_HA[Codigo],T_Info[[#This Row],[Codigo]]),)</f>
        <v>0</v>
      </c>
      <c r="AA3" s="49">
        <f>SUMIFS(T_Fe[Fund kg/m2],T_Fe[Codigo],T_Info[[#This Row],[Codigo]])</f>
        <v>0.76199907353792706</v>
      </c>
      <c r="AB3" s="22">
        <f>SUMIFS(T_Fe[Muros kg/m2],T_Fe[Codigo],T_Info[[#This Row],[Codigo]])</f>
        <v>12.149743879559932</v>
      </c>
      <c r="AC3" s="22">
        <f>SUMIFS(T_Fe[Perimetrales kg/m2],T_Fe[Codigo],T_Info[[#This Row],[Codigo]])</f>
        <v>0</v>
      </c>
      <c r="AD3" s="22">
        <f>SUMIFS(T_Fe[Vigas kg/m2],T_Fe[Codigo],T_Info[[#This Row],[Codigo]])</f>
        <v>5.9367550665894617</v>
      </c>
      <c r="AE3" s="50">
        <f>SUMIFS(T_Fe[Losas kg/m2],T_Fe[Codigo],T_Info[[#This Row],[Codigo]])</f>
        <v>7.0645141864504923</v>
      </c>
      <c r="AF3" s="49">
        <f>IFERROR(SUMIFS(T_HA[Fund m3/m2],T_HA[Codigo],T_Info[[#This Row],[Codigo]]),)</f>
        <v>0</v>
      </c>
      <c r="AG3" s="22">
        <f>IFERROR(SUMIFS(T_HA[Muros Int m3/m2],T_HA[Codigo],T_Info[[#This Row],[Codigo]]),)</f>
        <v>0</v>
      </c>
      <c r="AH3" s="22">
        <f>IFERROR(SUMIFS(T_HA[Perimetrales m3/m2],T_HA[Codigo],T_Info[[#This Row],[Codigo]]),)</f>
        <v>0</v>
      </c>
      <c r="AI3" s="22">
        <f>IFERROR(SUMIFS(T_HA[Vigas m3/m2],T_HA[Codigo],T_Info[[#This Row],[Codigo]]),)</f>
        <v>0</v>
      </c>
      <c r="AJ3" s="50">
        <f>IFERROR(SUMIFS(T_HA[Losas m3/m2],T_HA[Codigo],T_Info[[#This Row],[Codigo]]),)</f>
        <v>0</v>
      </c>
      <c r="AK3" s="22">
        <f>IFERROR(SUMIFS(T_HA[Fund m3],T_HA[Codigo],T_Info[[#This Row],[Codigo]])/SUMIFS(T_MLD[Fund Lat m2],T_MLD[Codigo],T_Info[[#This Row],[Codigo]]),)</f>
        <v>0</v>
      </c>
      <c r="AL3" s="22">
        <f>IFERROR(SUMIFS(T_HA[Muros m3],T_HA[Codigo],T_Info[[#This Row],[Codigo]])/SUMIFS(T_MLD[Muro m2],T_MLD[Codigo],T_Info[[#This Row],[Codigo]]),)</f>
        <v>0</v>
      </c>
      <c r="AM3" s="22">
        <f>IFERROR(SUMIFS(T_HA[Vigas m3],T_HA[Codigo],T_Info[[#This Row],[Codigo]])/(SUMIFS(T_MLD[Viga Lat m2],T_MLD[Codigo],T_Info[[#This Row],[Codigo]])+SUMIFS(T_MLD[Viga Fondo m2],T_MLD[Codigo],T_Info[[#This Row],[Codigo]])),)</f>
        <v>0</v>
      </c>
      <c r="AN3" s="22">
        <f>IFERROR(SUMIFS(T_HA[Losas m3],T_HA[Codigo],T_Info[[#This Row],[Codigo]])/(SUMIFS(T_MLD[Losa Fondo m2],T_MLD[Codigo],T_Info[[#This Row],[Codigo]])+SUMIFS(T_MLD[Rebalse m2],T_MLD[Codigo],T_Info[[#This Row],[Codigo]])),)</f>
        <v>0</v>
      </c>
      <c r="AO3" s="49">
        <f>IFERROR(SUMIFS(T_MLD[Fund Lat m2],T_MLD[Codigo],T_Info[[#This Row],[Codigo]])/T_Info[[#This Row],[Superficie m2]],)</f>
        <v>0</v>
      </c>
      <c r="AP3" s="22">
        <f>IFERROR(SUMIFS(T_MLD[Muro m2],T_MLD[Codigo],T_Info[[#This Row],[Codigo]])/T_Info[[#This Row],[Superficie m2]],)</f>
        <v>0</v>
      </c>
      <c r="AQ3" s="22">
        <f>IFERROR((SUMIFS(T_MLD[Viga Lat m2],T_MLD[Codigo],T_Info[[#This Row],[Codigo]])+SUMIFS(T_MLD[Viga Fondo m2],T_MLD[Codigo],T_Info[[#This Row],[Codigo]]))/T_Info[[#This Row],[Superficie m2]],)</f>
        <v>0</v>
      </c>
      <c r="AR3" s="50">
        <f>IFERROR((SUMIFS(T_MLD[Losa Fondo m2],T_MLD[Codigo],T_Info[[#This Row],[Codigo]])+SUMIFS(T_MLD[Rebalse m2],T_MLD[Codigo],T_Info[[#This Row],[Codigo]]))/T_Info[[#This Row],[Superficie m2]],)</f>
        <v>0</v>
      </c>
    </row>
    <row r="4" spans="1:44" x14ac:dyDescent="0.25">
      <c r="A4" s="52">
        <v>3</v>
      </c>
      <c r="B4" s="34">
        <v>13015</v>
      </c>
      <c r="C4" s="46" t="s">
        <v>84</v>
      </c>
      <c r="D4" s="6" t="s">
        <v>255</v>
      </c>
      <c r="E4" s="45" t="s">
        <v>85</v>
      </c>
      <c r="F4" s="34">
        <v>2</v>
      </c>
      <c r="G4" s="34">
        <v>11</v>
      </c>
      <c r="H4" s="34">
        <v>1</v>
      </c>
      <c r="I4" s="33">
        <v>9002</v>
      </c>
      <c r="J4" s="30"/>
      <c r="K4" s="53"/>
      <c r="L4" s="46"/>
      <c r="M4" s="47">
        <f>SUMIFS(T_Fe[Total kg],T_Fe[Codigo],T_Info[[#This Row],[Codigo]])</f>
        <v>370431.09516729432</v>
      </c>
      <c r="N4" s="33">
        <f>SUMIFS(T_HA[Total m3],T_HA[Codigo],T_Info[[#This Row],[Codigo]])</f>
        <v>0</v>
      </c>
      <c r="O4" s="48">
        <f>SUMIFS(T_MLD[Total m2],T_MLD[Codigo],T_Info[[#This Row],[Codigo]])</f>
        <v>0</v>
      </c>
      <c r="P4" s="49">
        <f>IFERROR(T_Info[[#This Row],[Fe (kg)]]/T_Info[[#This Row],[HA (m3)]],)</f>
        <v>0</v>
      </c>
      <c r="Q4" s="22">
        <f>IFERROR(T_Info[[#This Row],[Fe (kg)]]/T_Info[[#This Row],[Superficie m2]],)</f>
        <v>41.149866159441714</v>
      </c>
      <c r="R4" s="22">
        <f>IFERROR(T_Info[[#This Row],[HA (m3)]]/T_Info[[#This Row],[Superficie m2]],)</f>
        <v>0</v>
      </c>
      <c r="S4" s="22">
        <f>IFERROR(T_Info[[#This Row],[HA (m3)]]/T_Info[[#This Row],[MLD (m2)]],)</f>
        <v>0</v>
      </c>
      <c r="T4" s="50">
        <f>IFERROR(T_Info[[#This Row],[MLD (m2)]]/T_Info[[#This Row],[Superficie m2]],)</f>
        <v>0</v>
      </c>
      <c r="U4" s="49">
        <f>IFERROR(SUMIFS(T_Fe[Fund kg],T_Fe[Codigo],T_Info[[#This Row],[Codigo]])/SUMIFS(T_HA[Fund m3],T_HA[Codigo],T_Info[[#This Row],[Codigo]]),)</f>
        <v>0</v>
      </c>
      <c r="V4" s="22">
        <f>IFERROR(SUMIFS(T_Fe[Grua kg],T_Fe[Codigo],T_Info[[#This Row],[Codigo]])/SUMIFS(T_HA[Grua m3],T_HA[Codigo],T_Info[[#This Row],[Codigo]]),)</f>
        <v>0</v>
      </c>
      <c r="W4" s="22">
        <f>IFERROR(SUMIFS(T_Fe[Muros kg],T_Fe[Codigo],T_Info[[#This Row],[Codigo]])/SUMIFS(T_HA[Muros Int m3],T_HA[Codigo],T_Info[[#This Row],[Codigo]]),)</f>
        <v>0</v>
      </c>
      <c r="X4" s="22">
        <f>IFERROR(SUMIFS(T_Fe[Perimetrales kg],T_Fe[Codigo],T_Info[[#This Row],[Codigo]])/SUMIFS(T_HA[Perimetrales m3],T_HA[Codigo],T_Info[[#This Row],[Codigo]]),)</f>
        <v>0</v>
      </c>
      <c r="Y4" s="22">
        <f>IFERROR(SUMIFS(T_Fe[Vigas kg],T_Fe[Codigo],T_Info[[#This Row],[Codigo]])/SUMIFS(T_HA[Vigas m3],T_HA[Codigo],T_Info[[#This Row],[Codigo]]),)</f>
        <v>0</v>
      </c>
      <c r="Z4" s="50">
        <f>IFERROR(SUMIFS(T_Fe[Losas kg],T_Fe[Codigo],T_Info[[#This Row],[Codigo]])/SUMIFS(T_HA[Losas m3],T_HA[Codigo],T_Info[[#This Row],[Codigo]]),)</f>
        <v>0</v>
      </c>
      <c r="AA4" s="49">
        <f>SUMIFS(T_Fe[Fund kg/m2],T_Fe[Codigo],T_Info[[#This Row],[Codigo]])</f>
        <v>7.0752468525869912</v>
      </c>
      <c r="AB4" s="22">
        <f>SUMIFS(T_Fe[Muros kg/m2],T_Fe[Codigo],T_Info[[#This Row],[Codigo]])</f>
        <v>15.786294190978969</v>
      </c>
      <c r="AC4" s="22">
        <f>SUMIFS(T_Fe[Perimetrales kg/m2],T_Fe[Codigo],T_Info[[#This Row],[Codigo]])</f>
        <v>0</v>
      </c>
      <c r="AD4" s="22">
        <f>SUMIFS(T_Fe[Vigas kg/m2],T_Fe[Codigo],T_Info[[#This Row],[Codigo]])</f>
        <v>4.7632263317490109</v>
      </c>
      <c r="AE4" s="50">
        <f>SUMIFS(T_Fe[Losas kg/m2],T_Fe[Codigo],T_Info[[#This Row],[Codigo]])</f>
        <v>13.52509878412674</v>
      </c>
      <c r="AF4" s="49">
        <f>IFERROR(SUMIFS(T_HA[Fund m3/m2],T_HA[Codigo],T_Info[[#This Row],[Codigo]]),)</f>
        <v>0</v>
      </c>
      <c r="AG4" s="22">
        <f>IFERROR(SUMIFS(T_HA[Muros Int m3/m2],T_HA[Codigo],T_Info[[#This Row],[Codigo]]),)</f>
        <v>0</v>
      </c>
      <c r="AH4" s="22">
        <f>IFERROR(SUMIFS(T_HA[Perimetrales m3/m2],T_HA[Codigo],T_Info[[#This Row],[Codigo]]),)</f>
        <v>0</v>
      </c>
      <c r="AI4" s="22">
        <f>IFERROR(SUMIFS(T_HA[Vigas m3/m2],T_HA[Codigo],T_Info[[#This Row],[Codigo]]),)</f>
        <v>0</v>
      </c>
      <c r="AJ4" s="50">
        <f>IFERROR(SUMIFS(T_HA[Losas m3/m2],T_HA[Codigo],T_Info[[#This Row],[Codigo]]),)</f>
        <v>0</v>
      </c>
      <c r="AK4" s="22">
        <f>IFERROR(SUMIFS(T_HA[Fund m3],T_HA[Codigo],T_Info[[#This Row],[Codigo]])/SUMIFS(T_MLD[Fund Lat m2],T_MLD[Codigo],T_Info[[#This Row],[Codigo]]),)</f>
        <v>0</v>
      </c>
      <c r="AL4" s="22">
        <f>IFERROR(SUMIFS(T_HA[Muros m3],T_HA[Codigo],T_Info[[#This Row],[Codigo]])/SUMIFS(T_MLD[Muro m2],T_MLD[Codigo],T_Info[[#This Row],[Codigo]]),)</f>
        <v>0</v>
      </c>
      <c r="AM4" s="22">
        <f>IFERROR(SUMIFS(T_HA[Vigas m3],T_HA[Codigo],T_Info[[#This Row],[Codigo]])/(SUMIFS(T_MLD[Viga Lat m2],T_MLD[Codigo],T_Info[[#This Row],[Codigo]])+SUMIFS(T_MLD[Viga Fondo m2],T_MLD[Codigo],T_Info[[#This Row],[Codigo]])),)</f>
        <v>0</v>
      </c>
      <c r="AN4" s="22">
        <f>IFERROR(SUMIFS(T_HA[Losas m3],T_HA[Codigo],T_Info[[#This Row],[Codigo]])/(SUMIFS(T_MLD[Losa Fondo m2],T_MLD[Codigo],T_Info[[#This Row],[Codigo]])+SUMIFS(T_MLD[Rebalse m2],T_MLD[Codigo],T_Info[[#This Row],[Codigo]])),)</f>
        <v>0</v>
      </c>
      <c r="AO4" s="49">
        <f>IFERROR(SUMIFS(T_MLD[Fund Lat m2],T_MLD[Codigo],T_Info[[#This Row],[Codigo]])/T_Info[[#This Row],[Superficie m2]],)</f>
        <v>0</v>
      </c>
      <c r="AP4" s="22">
        <f>IFERROR(SUMIFS(T_MLD[Muro m2],T_MLD[Codigo],T_Info[[#This Row],[Codigo]])/T_Info[[#This Row],[Superficie m2]],)</f>
        <v>0</v>
      </c>
      <c r="AQ4" s="22">
        <f>IFERROR((SUMIFS(T_MLD[Viga Lat m2],T_MLD[Codigo],T_Info[[#This Row],[Codigo]])+SUMIFS(T_MLD[Viga Fondo m2],T_MLD[Codigo],T_Info[[#This Row],[Codigo]]))/T_Info[[#This Row],[Superficie m2]],)</f>
        <v>0</v>
      </c>
      <c r="AR4" s="50">
        <f>IFERROR((SUMIFS(T_MLD[Losa Fondo m2],T_MLD[Codigo],T_Info[[#This Row],[Codigo]])+SUMIFS(T_MLD[Rebalse m2],T_MLD[Codigo],T_Info[[#This Row],[Codigo]]))/T_Info[[#This Row],[Superficie m2]],)</f>
        <v>0</v>
      </c>
    </row>
    <row r="5" spans="1:44" x14ac:dyDescent="0.25">
      <c r="A5" s="52">
        <v>4</v>
      </c>
      <c r="B5" s="34">
        <v>13044</v>
      </c>
      <c r="C5" s="46" t="s">
        <v>256</v>
      </c>
      <c r="D5" s="6" t="s">
        <v>255</v>
      </c>
      <c r="E5" s="45" t="s">
        <v>80</v>
      </c>
      <c r="F5" s="34">
        <v>2</v>
      </c>
      <c r="G5" s="34">
        <v>10</v>
      </c>
      <c r="H5" s="34">
        <v>2</v>
      </c>
      <c r="I5" s="33">
        <v>18703</v>
      </c>
      <c r="J5" s="30"/>
      <c r="K5" s="53"/>
      <c r="L5" s="46"/>
      <c r="M5" s="47">
        <f>SUMIFS(T_Fe[Total kg],T_Fe[Codigo],T_Info[[#This Row],[Codigo]])</f>
        <v>563996.06803999993</v>
      </c>
      <c r="N5" s="33">
        <f>SUMIFS(T_HA[Total m3],T_HA[Codigo],T_Info[[#This Row],[Codigo]])</f>
        <v>0</v>
      </c>
      <c r="O5" s="48">
        <f>SUMIFS(T_MLD[Total m2],T_MLD[Codigo],T_Info[[#This Row],[Codigo]])</f>
        <v>0</v>
      </c>
      <c r="P5" s="49">
        <f>IFERROR(T_Info[[#This Row],[Fe (kg)]]/T_Info[[#This Row],[HA (m3)]],)</f>
        <v>0</v>
      </c>
      <c r="Q5" s="22">
        <f>IFERROR(T_Info[[#This Row],[Fe (kg)]]/T_Info[[#This Row],[Superficie m2]],)</f>
        <v>30.155379780783829</v>
      </c>
      <c r="R5" s="22">
        <f>IFERROR(T_Info[[#This Row],[HA (m3)]]/T_Info[[#This Row],[Superficie m2]],)</f>
        <v>0</v>
      </c>
      <c r="S5" s="22">
        <f>IFERROR(T_Info[[#This Row],[HA (m3)]]/T_Info[[#This Row],[MLD (m2)]],)</f>
        <v>0</v>
      </c>
      <c r="T5" s="50">
        <f>IFERROR(T_Info[[#This Row],[MLD (m2)]]/T_Info[[#This Row],[Superficie m2]],)</f>
        <v>0</v>
      </c>
      <c r="U5" s="49">
        <f>IFERROR(SUMIFS(T_Fe[Fund kg],T_Fe[Codigo],T_Info[[#This Row],[Codigo]])/SUMIFS(T_HA[Fund m3],T_HA[Codigo],T_Info[[#This Row],[Codigo]]),)</f>
        <v>0</v>
      </c>
      <c r="V5" s="22">
        <f>IFERROR(SUMIFS(T_Fe[Grua kg],T_Fe[Codigo],T_Info[[#This Row],[Codigo]])/SUMIFS(T_HA[Grua m3],T_HA[Codigo],T_Info[[#This Row],[Codigo]]),)</f>
        <v>0</v>
      </c>
      <c r="W5" s="22">
        <f>IFERROR(SUMIFS(T_Fe[Muros kg],T_Fe[Codigo],T_Info[[#This Row],[Codigo]])/SUMIFS(T_HA[Muros Int m3],T_HA[Codigo],T_Info[[#This Row],[Codigo]]),)</f>
        <v>0</v>
      </c>
      <c r="X5" s="22">
        <f>IFERROR(SUMIFS(T_Fe[Perimetrales kg],T_Fe[Codigo],T_Info[[#This Row],[Codigo]])/SUMIFS(T_HA[Perimetrales m3],T_HA[Codigo],T_Info[[#This Row],[Codigo]]),)</f>
        <v>0</v>
      </c>
      <c r="Y5" s="22">
        <f>IFERROR(SUMIFS(T_Fe[Vigas kg],T_Fe[Codigo],T_Info[[#This Row],[Codigo]])/SUMIFS(T_HA[Vigas m3],T_HA[Codigo],T_Info[[#This Row],[Codigo]]),)</f>
        <v>0</v>
      </c>
      <c r="Z5" s="50">
        <f>IFERROR(SUMIFS(T_Fe[Losas kg],T_Fe[Codigo],T_Info[[#This Row],[Codigo]])/SUMIFS(T_HA[Losas m3],T_HA[Codigo],T_Info[[#This Row],[Codigo]]),)</f>
        <v>0</v>
      </c>
      <c r="AA5" s="49">
        <f>SUMIFS(T_Fe[Fund kg/m2],T_Fe[Codigo],T_Info[[#This Row],[Codigo]])</f>
        <v>0.41580954927017055</v>
      </c>
      <c r="AB5" s="22">
        <f>SUMIFS(T_Fe[Muros kg/m2],T_Fe[Codigo],T_Info[[#This Row],[Codigo]])</f>
        <v>11.86412592632198</v>
      </c>
      <c r="AC5" s="22">
        <f>SUMIFS(T_Fe[Perimetrales kg/m2],T_Fe[Codigo],T_Info[[#This Row],[Codigo]])</f>
        <v>0</v>
      </c>
      <c r="AD5" s="22">
        <f>SUMIFS(T_Fe[Vigas kg/m2],T_Fe[Codigo],T_Info[[#This Row],[Codigo]])</f>
        <v>5.1531469176068025</v>
      </c>
      <c r="AE5" s="50">
        <f>SUMIFS(T_Fe[Losas kg/m2],T_Fe[Codigo],T_Info[[#This Row],[Codigo]])</f>
        <v>12.72229738758487</v>
      </c>
      <c r="AF5" s="49">
        <f>IFERROR(SUMIFS(T_HA[Fund m3/m2],T_HA[Codigo],T_Info[[#This Row],[Codigo]]),)</f>
        <v>0</v>
      </c>
      <c r="AG5" s="22">
        <f>IFERROR(SUMIFS(T_HA[Muros Int m3/m2],T_HA[Codigo],T_Info[[#This Row],[Codigo]]),)</f>
        <v>0</v>
      </c>
      <c r="AH5" s="22">
        <f>IFERROR(SUMIFS(T_HA[Perimetrales m3/m2],T_HA[Codigo],T_Info[[#This Row],[Codigo]]),)</f>
        <v>0</v>
      </c>
      <c r="AI5" s="22">
        <f>IFERROR(SUMIFS(T_HA[Vigas m3/m2],T_HA[Codigo],T_Info[[#This Row],[Codigo]]),)</f>
        <v>0</v>
      </c>
      <c r="AJ5" s="50">
        <f>IFERROR(SUMIFS(T_HA[Losas m3/m2],T_HA[Codigo],T_Info[[#This Row],[Codigo]]),)</f>
        <v>0</v>
      </c>
      <c r="AK5" s="22">
        <f>IFERROR(SUMIFS(T_HA[Fund m3],T_HA[Codigo],T_Info[[#This Row],[Codigo]])/SUMIFS(T_MLD[Fund Lat m2],T_MLD[Codigo],T_Info[[#This Row],[Codigo]]),)</f>
        <v>0</v>
      </c>
      <c r="AL5" s="22">
        <f>IFERROR(SUMIFS(T_HA[Muros m3],T_HA[Codigo],T_Info[[#This Row],[Codigo]])/SUMIFS(T_MLD[Muro m2],T_MLD[Codigo],T_Info[[#This Row],[Codigo]]),)</f>
        <v>0</v>
      </c>
      <c r="AM5" s="22">
        <f>IFERROR(SUMIFS(T_HA[Vigas m3],T_HA[Codigo],T_Info[[#This Row],[Codigo]])/(SUMIFS(T_MLD[Viga Lat m2],T_MLD[Codigo],T_Info[[#This Row],[Codigo]])+SUMIFS(T_MLD[Viga Fondo m2],T_MLD[Codigo],T_Info[[#This Row],[Codigo]])),)</f>
        <v>0</v>
      </c>
      <c r="AN5" s="22">
        <f>IFERROR(SUMIFS(T_HA[Losas m3],T_HA[Codigo],T_Info[[#This Row],[Codigo]])/(SUMIFS(T_MLD[Losa Fondo m2],T_MLD[Codigo],T_Info[[#This Row],[Codigo]])+SUMIFS(T_MLD[Rebalse m2],T_MLD[Codigo],T_Info[[#This Row],[Codigo]])),)</f>
        <v>0</v>
      </c>
      <c r="AO5" s="49">
        <f>IFERROR(SUMIFS(T_MLD[Fund Lat m2],T_MLD[Codigo],T_Info[[#This Row],[Codigo]])/T_Info[[#This Row],[Superficie m2]],)</f>
        <v>0</v>
      </c>
      <c r="AP5" s="22">
        <f>IFERROR(SUMIFS(T_MLD[Muro m2],T_MLD[Codigo],T_Info[[#This Row],[Codigo]])/T_Info[[#This Row],[Superficie m2]],)</f>
        <v>0</v>
      </c>
      <c r="AQ5" s="22">
        <f>IFERROR((SUMIFS(T_MLD[Viga Lat m2],T_MLD[Codigo],T_Info[[#This Row],[Codigo]])+SUMIFS(T_MLD[Viga Fondo m2],T_MLD[Codigo],T_Info[[#This Row],[Codigo]]))/T_Info[[#This Row],[Superficie m2]],)</f>
        <v>0</v>
      </c>
      <c r="AR5" s="50">
        <f>IFERROR((SUMIFS(T_MLD[Losa Fondo m2],T_MLD[Codigo],T_Info[[#This Row],[Codigo]])+SUMIFS(T_MLD[Rebalse m2],T_MLD[Codigo],T_Info[[#This Row],[Codigo]]))/T_Info[[#This Row],[Superficie m2]],)</f>
        <v>0</v>
      </c>
    </row>
    <row r="6" spans="1:44" x14ac:dyDescent="0.25">
      <c r="A6" s="52">
        <v>5</v>
      </c>
      <c r="B6" s="34">
        <v>13052</v>
      </c>
      <c r="C6" s="46" t="s">
        <v>86</v>
      </c>
      <c r="D6" s="6" t="s">
        <v>255</v>
      </c>
      <c r="E6" s="45" t="s">
        <v>80</v>
      </c>
      <c r="F6" s="34">
        <v>2</v>
      </c>
      <c r="G6" s="34">
        <v>9</v>
      </c>
      <c r="H6" s="34">
        <v>2</v>
      </c>
      <c r="I6" s="33">
        <v>9002</v>
      </c>
      <c r="J6" s="30"/>
      <c r="K6" s="53"/>
      <c r="L6" s="46"/>
      <c r="M6" s="47">
        <f>SUMIFS(T_Fe[Total kg],T_Fe[Codigo],T_Info[[#This Row],[Codigo]])</f>
        <v>278527.97520000004</v>
      </c>
      <c r="N6" s="33">
        <f>SUMIFS(T_HA[Total m3],T_HA[Codigo],T_Info[[#This Row],[Codigo]])</f>
        <v>0</v>
      </c>
      <c r="O6" s="48">
        <f>SUMIFS(T_MLD[Total m2],T_MLD[Codigo],T_Info[[#This Row],[Codigo]])</f>
        <v>0</v>
      </c>
      <c r="P6" s="49">
        <f>IFERROR(T_Info[[#This Row],[Fe (kg)]]/T_Info[[#This Row],[HA (m3)]],)</f>
        <v>0</v>
      </c>
      <c r="Q6" s="22">
        <f>IFERROR(T_Info[[#This Row],[Fe (kg)]]/T_Info[[#This Row],[Superficie m2]],)</f>
        <v>30.940677093979122</v>
      </c>
      <c r="R6" s="22">
        <f>IFERROR(T_Info[[#This Row],[HA (m3)]]/T_Info[[#This Row],[Superficie m2]],)</f>
        <v>0</v>
      </c>
      <c r="S6" s="22">
        <f>IFERROR(T_Info[[#This Row],[HA (m3)]]/T_Info[[#This Row],[MLD (m2)]],)</f>
        <v>0</v>
      </c>
      <c r="T6" s="50">
        <f>IFERROR(T_Info[[#This Row],[MLD (m2)]]/T_Info[[#This Row],[Superficie m2]],)</f>
        <v>0</v>
      </c>
      <c r="U6" s="49">
        <f>IFERROR(SUMIFS(T_Fe[Fund kg],T_Fe[Codigo],T_Info[[#This Row],[Codigo]])/SUMIFS(T_HA[Fund m3],T_HA[Codigo],T_Info[[#This Row],[Codigo]]),)</f>
        <v>0</v>
      </c>
      <c r="V6" s="22">
        <f>IFERROR(SUMIFS(T_Fe[Grua kg],T_Fe[Codigo],T_Info[[#This Row],[Codigo]])/SUMIFS(T_HA[Grua m3],T_HA[Codigo],T_Info[[#This Row],[Codigo]]),)</f>
        <v>0</v>
      </c>
      <c r="W6" s="22">
        <f>IFERROR(SUMIFS(T_Fe[Muros kg],T_Fe[Codigo],T_Info[[#This Row],[Codigo]])/SUMIFS(T_HA[Muros Int m3],T_HA[Codigo],T_Info[[#This Row],[Codigo]]),)</f>
        <v>0</v>
      </c>
      <c r="X6" s="22">
        <f>IFERROR(SUMIFS(T_Fe[Perimetrales kg],T_Fe[Codigo],T_Info[[#This Row],[Codigo]])/SUMIFS(T_HA[Perimetrales m3],T_HA[Codigo],T_Info[[#This Row],[Codigo]]),)</f>
        <v>0</v>
      </c>
      <c r="Y6" s="22">
        <f>IFERROR(SUMIFS(T_Fe[Vigas kg],T_Fe[Codigo],T_Info[[#This Row],[Codigo]])/SUMIFS(T_HA[Vigas m3],T_HA[Codigo],T_Info[[#This Row],[Codigo]]),)</f>
        <v>0</v>
      </c>
      <c r="Z6" s="50">
        <f>IFERROR(SUMIFS(T_Fe[Losas kg],T_Fe[Codigo],T_Info[[#This Row],[Codigo]])/SUMIFS(T_HA[Losas m3],T_HA[Codigo],T_Info[[#This Row],[Codigo]]),)</f>
        <v>0</v>
      </c>
      <c r="AA6" s="49">
        <f>SUMIFS(T_Fe[Fund kg/m2],T_Fe[Codigo],T_Info[[#This Row],[Codigo]])</f>
        <v>0.55707842701621868</v>
      </c>
      <c r="AB6" s="22">
        <f>SUMIFS(T_Fe[Muros kg/m2],T_Fe[Codigo],T_Info[[#This Row],[Codigo]])</f>
        <v>12.383205421017555</v>
      </c>
      <c r="AC6" s="22">
        <f>SUMIFS(T_Fe[Perimetrales kg/m2],T_Fe[Codigo],T_Info[[#This Row],[Codigo]])</f>
        <v>0</v>
      </c>
      <c r="AD6" s="22">
        <f>SUMIFS(T_Fe[Vigas kg/m2],T_Fe[Codigo],T_Info[[#This Row],[Codigo]])</f>
        <v>3.6534325705398807</v>
      </c>
      <c r="AE6" s="50">
        <f>SUMIFS(T_Fe[Losas kg/m2],T_Fe[Codigo],T_Info[[#This Row],[Codigo]])</f>
        <v>14.346960675405466</v>
      </c>
      <c r="AF6" s="49">
        <f>IFERROR(SUMIFS(T_HA[Fund m3/m2],T_HA[Codigo],T_Info[[#This Row],[Codigo]]),)</f>
        <v>0</v>
      </c>
      <c r="AG6" s="22">
        <f>IFERROR(SUMIFS(T_HA[Muros Int m3/m2],T_HA[Codigo],T_Info[[#This Row],[Codigo]]),)</f>
        <v>0</v>
      </c>
      <c r="AH6" s="22">
        <f>IFERROR(SUMIFS(T_HA[Perimetrales m3/m2],T_HA[Codigo],T_Info[[#This Row],[Codigo]]),)</f>
        <v>0</v>
      </c>
      <c r="AI6" s="22">
        <f>IFERROR(SUMIFS(T_HA[Vigas m3/m2],T_HA[Codigo],T_Info[[#This Row],[Codigo]]),)</f>
        <v>0</v>
      </c>
      <c r="AJ6" s="50">
        <f>IFERROR(SUMIFS(T_HA[Losas m3/m2],T_HA[Codigo],T_Info[[#This Row],[Codigo]]),)</f>
        <v>0</v>
      </c>
      <c r="AK6" s="22">
        <f>IFERROR(SUMIFS(T_HA[Fund m3],T_HA[Codigo],T_Info[[#This Row],[Codigo]])/SUMIFS(T_MLD[Fund Lat m2],T_MLD[Codigo],T_Info[[#This Row],[Codigo]]),)</f>
        <v>0</v>
      </c>
      <c r="AL6" s="22">
        <f>IFERROR(SUMIFS(T_HA[Muros m3],T_HA[Codigo],T_Info[[#This Row],[Codigo]])/SUMIFS(T_MLD[Muro m2],T_MLD[Codigo],T_Info[[#This Row],[Codigo]]),)</f>
        <v>0</v>
      </c>
      <c r="AM6" s="22">
        <f>IFERROR(SUMIFS(T_HA[Vigas m3],T_HA[Codigo],T_Info[[#This Row],[Codigo]])/(SUMIFS(T_MLD[Viga Lat m2],T_MLD[Codigo],T_Info[[#This Row],[Codigo]])+SUMIFS(T_MLD[Viga Fondo m2],T_MLD[Codigo],T_Info[[#This Row],[Codigo]])),)</f>
        <v>0</v>
      </c>
      <c r="AN6" s="22">
        <f>IFERROR(SUMIFS(T_HA[Losas m3],T_HA[Codigo],T_Info[[#This Row],[Codigo]])/(SUMIFS(T_MLD[Losa Fondo m2],T_MLD[Codigo],T_Info[[#This Row],[Codigo]])+SUMIFS(T_MLD[Rebalse m2],T_MLD[Codigo],T_Info[[#This Row],[Codigo]])),)</f>
        <v>0</v>
      </c>
      <c r="AO6" s="49">
        <f>IFERROR(SUMIFS(T_MLD[Fund Lat m2],T_MLD[Codigo],T_Info[[#This Row],[Codigo]])/T_Info[[#This Row],[Superficie m2]],)</f>
        <v>0</v>
      </c>
      <c r="AP6" s="22">
        <f>IFERROR(SUMIFS(T_MLD[Muro m2],T_MLD[Codigo],T_Info[[#This Row],[Codigo]])/T_Info[[#This Row],[Superficie m2]],)</f>
        <v>0</v>
      </c>
      <c r="AQ6" s="22">
        <f>IFERROR((SUMIFS(T_MLD[Viga Lat m2],T_MLD[Codigo],T_Info[[#This Row],[Codigo]])+SUMIFS(T_MLD[Viga Fondo m2],T_MLD[Codigo],T_Info[[#This Row],[Codigo]]))/T_Info[[#This Row],[Superficie m2]],)</f>
        <v>0</v>
      </c>
      <c r="AR6" s="50">
        <f>IFERROR((SUMIFS(T_MLD[Losa Fondo m2],T_MLD[Codigo],T_Info[[#This Row],[Codigo]])+SUMIFS(T_MLD[Rebalse m2],T_MLD[Codigo],T_Info[[#This Row],[Codigo]]))/T_Info[[#This Row],[Superficie m2]],)</f>
        <v>0</v>
      </c>
    </row>
    <row r="7" spans="1:44" x14ac:dyDescent="0.25">
      <c r="A7" s="52">
        <v>6</v>
      </c>
      <c r="B7" s="34">
        <v>13055</v>
      </c>
      <c r="C7" s="46" t="s">
        <v>87</v>
      </c>
      <c r="D7" s="6" t="s">
        <v>255</v>
      </c>
      <c r="E7" s="45" t="s">
        <v>80</v>
      </c>
      <c r="F7" s="34">
        <v>2</v>
      </c>
      <c r="G7" s="34">
        <v>21</v>
      </c>
      <c r="H7" s="34">
        <v>4</v>
      </c>
      <c r="I7" s="33">
        <v>25900</v>
      </c>
      <c r="J7" s="30"/>
      <c r="K7" s="53"/>
      <c r="L7" s="46"/>
      <c r="M7" s="47">
        <f>SUMIFS(T_Fe[Total kg],T_Fe[Codigo],T_Info[[#This Row],[Codigo]])</f>
        <v>871720.45860000025</v>
      </c>
      <c r="N7" s="33">
        <f>SUMIFS(T_HA[Total m3],T_HA[Codigo],T_Info[[#This Row],[Codigo]])</f>
        <v>0</v>
      </c>
      <c r="O7" s="48">
        <f>SUMIFS(T_MLD[Total m2],T_MLD[Codigo],T_Info[[#This Row],[Codigo]])</f>
        <v>0</v>
      </c>
      <c r="P7" s="49">
        <f>IFERROR(T_Info[[#This Row],[Fe (kg)]]/T_Info[[#This Row],[HA (m3)]],)</f>
        <v>0</v>
      </c>
      <c r="Q7" s="22">
        <f>IFERROR(T_Info[[#This Row],[Fe (kg)]]/T_Info[[#This Row],[Superficie m2]],)</f>
        <v>33.657160563706576</v>
      </c>
      <c r="R7" s="22">
        <f>IFERROR(T_Info[[#This Row],[HA (m3)]]/T_Info[[#This Row],[Superficie m2]],)</f>
        <v>0</v>
      </c>
      <c r="S7" s="22">
        <f>IFERROR(T_Info[[#This Row],[HA (m3)]]/T_Info[[#This Row],[MLD (m2)]],)</f>
        <v>0</v>
      </c>
      <c r="T7" s="50">
        <f>IFERROR(T_Info[[#This Row],[MLD (m2)]]/T_Info[[#This Row],[Superficie m2]],)</f>
        <v>0</v>
      </c>
      <c r="U7" s="49">
        <f>IFERROR(SUMIFS(T_Fe[Fund kg],T_Fe[Codigo],T_Info[[#This Row],[Codigo]])/SUMIFS(T_HA[Fund m3],T_HA[Codigo],T_Info[[#This Row],[Codigo]]),)</f>
        <v>0</v>
      </c>
      <c r="V7" s="22">
        <f>IFERROR(SUMIFS(T_Fe[Grua kg],T_Fe[Codigo],T_Info[[#This Row],[Codigo]])/SUMIFS(T_HA[Grua m3],T_HA[Codigo],T_Info[[#This Row],[Codigo]]),)</f>
        <v>0</v>
      </c>
      <c r="W7" s="22">
        <f>IFERROR(SUMIFS(T_Fe[Muros kg],T_Fe[Codigo],T_Info[[#This Row],[Codigo]])/SUMIFS(T_HA[Muros Int m3],T_HA[Codigo],T_Info[[#This Row],[Codigo]]),)</f>
        <v>0</v>
      </c>
      <c r="X7" s="22">
        <f>IFERROR(SUMIFS(T_Fe[Perimetrales kg],T_Fe[Codigo],T_Info[[#This Row],[Codigo]])/SUMIFS(T_HA[Perimetrales m3],T_HA[Codigo],T_Info[[#This Row],[Codigo]]),)</f>
        <v>0</v>
      </c>
      <c r="Y7" s="22">
        <f>IFERROR(SUMIFS(T_Fe[Vigas kg],T_Fe[Codigo],T_Info[[#This Row],[Codigo]])/SUMIFS(T_HA[Vigas m3],T_HA[Codigo],T_Info[[#This Row],[Codigo]]),)</f>
        <v>0</v>
      </c>
      <c r="Z7" s="50">
        <f>IFERROR(SUMIFS(T_Fe[Losas kg],T_Fe[Codigo],T_Info[[#This Row],[Codigo]])/SUMIFS(T_HA[Losas m3],T_HA[Codigo],T_Info[[#This Row],[Codigo]]),)</f>
        <v>0</v>
      </c>
      <c r="AA7" s="49">
        <f>SUMIFS(T_Fe[Fund kg/m2],T_Fe[Codigo],T_Info[[#This Row],[Codigo]])</f>
        <v>0.47500598455598453</v>
      </c>
      <c r="AB7" s="22">
        <f>SUMIFS(T_Fe[Muros kg/m2],T_Fe[Codigo],T_Info[[#This Row],[Codigo]])</f>
        <v>15.250150239382242</v>
      </c>
      <c r="AC7" s="22">
        <f>SUMIFS(T_Fe[Perimetrales kg/m2],T_Fe[Codigo],T_Info[[#This Row],[Codigo]])</f>
        <v>0</v>
      </c>
      <c r="AD7" s="22">
        <f>SUMIFS(T_Fe[Vigas kg/m2],T_Fe[Codigo],T_Info[[#This Row],[Codigo]])</f>
        <v>4.7966992586872585</v>
      </c>
      <c r="AE7" s="50">
        <f>SUMIFS(T_Fe[Losas kg/m2],T_Fe[Codigo],T_Info[[#This Row],[Codigo]])</f>
        <v>13.135305081081086</v>
      </c>
      <c r="AF7" s="49">
        <f>IFERROR(SUMIFS(T_HA[Fund m3/m2],T_HA[Codigo],T_Info[[#This Row],[Codigo]]),)</f>
        <v>0</v>
      </c>
      <c r="AG7" s="22">
        <f>IFERROR(SUMIFS(T_HA[Muros Int m3/m2],T_HA[Codigo],T_Info[[#This Row],[Codigo]]),)</f>
        <v>0</v>
      </c>
      <c r="AH7" s="22">
        <f>IFERROR(SUMIFS(T_HA[Perimetrales m3/m2],T_HA[Codigo],T_Info[[#This Row],[Codigo]]),)</f>
        <v>0</v>
      </c>
      <c r="AI7" s="22">
        <f>IFERROR(SUMIFS(T_HA[Vigas m3/m2],T_HA[Codigo],T_Info[[#This Row],[Codigo]]),)</f>
        <v>0</v>
      </c>
      <c r="AJ7" s="50">
        <f>IFERROR(SUMIFS(T_HA[Losas m3/m2],T_HA[Codigo],T_Info[[#This Row],[Codigo]]),)</f>
        <v>0</v>
      </c>
      <c r="AK7" s="22">
        <f>IFERROR(SUMIFS(T_HA[Fund m3],T_HA[Codigo],T_Info[[#This Row],[Codigo]])/SUMIFS(T_MLD[Fund Lat m2],T_MLD[Codigo],T_Info[[#This Row],[Codigo]]),)</f>
        <v>0</v>
      </c>
      <c r="AL7" s="22">
        <f>IFERROR(SUMIFS(T_HA[Muros m3],T_HA[Codigo],T_Info[[#This Row],[Codigo]])/SUMIFS(T_MLD[Muro m2],T_MLD[Codigo],T_Info[[#This Row],[Codigo]]),)</f>
        <v>0</v>
      </c>
      <c r="AM7" s="22">
        <f>IFERROR(SUMIFS(T_HA[Vigas m3],T_HA[Codigo],T_Info[[#This Row],[Codigo]])/(SUMIFS(T_MLD[Viga Lat m2],T_MLD[Codigo],T_Info[[#This Row],[Codigo]])+SUMIFS(T_MLD[Viga Fondo m2],T_MLD[Codigo],T_Info[[#This Row],[Codigo]])),)</f>
        <v>0</v>
      </c>
      <c r="AN7" s="22">
        <f>IFERROR(SUMIFS(T_HA[Losas m3],T_HA[Codigo],T_Info[[#This Row],[Codigo]])/(SUMIFS(T_MLD[Losa Fondo m2],T_MLD[Codigo],T_Info[[#This Row],[Codigo]])+SUMIFS(T_MLD[Rebalse m2],T_MLD[Codigo],T_Info[[#This Row],[Codigo]])),)</f>
        <v>0</v>
      </c>
      <c r="AO7" s="49">
        <f>IFERROR(SUMIFS(T_MLD[Fund Lat m2],T_MLD[Codigo],T_Info[[#This Row],[Codigo]])/T_Info[[#This Row],[Superficie m2]],)</f>
        <v>0</v>
      </c>
      <c r="AP7" s="22">
        <f>IFERROR(SUMIFS(T_MLD[Muro m2],T_MLD[Codigo],T_Info[[#This Row],[Codigo]])/T_Info[[#This Row],[Superficie m2]],)</f>
        <v>0</v>
      </c>
      <c r="AQ7" s="22">
        <f>IFERROR((SUMIFS(T_MLD[Viga Lat m2],T_MLD[Codigo],T_Info[[#This Row],[Codigo]])+SUMIFS(T_MLD[Viga Fondo m2],T_MLD[Codigo],T_Info[[#This Row],[Codigo]]))/T_Info[[#This Row],[Superficie m2]],)</f>
        <v>0</v>
      </c>
      <c r="AR7" s="50">
        <f>IFERROR((SUMIFS(T_MLD[Losa Fondo m2],T_MLD[Codigo],T_Info[[#This Row],[Codigo]])+SUMIFS(T_MLD[Rebalse m2],T_MLD[Codigo],T_Info[[#This Row],[Codigo]]))/T_Info[[#This Row],[Superficie m2]],)</f>
        <v>0</v>
      </c>
    </row>
    <row r="8" spans="1:44" x14ac:dyDescent="0.25">
      <c r="A8" s="52">
        <v>7</v>
      </c>
      <c r="B8" s="34">
        <v>13091</v>
      </c>
      <c r="C8" s="46" t="s">
        <v>88</v>
      </c>
      <c r="D8" s="6" t="s">
        <v>257</v>
      </c>
      <c r="E8" s="45" t="s">
        <v>80</v>
      </c>
      <c r="F8" s="34">
        <v>2</v>
      </c>
      <c r="G8" s="34">
        <v>12</v>
      </c>
      <c r="H8" s="34">
        <v>2</v>
      </c>
      <c r="I8" s="33">
        <v>14115</v>
      </c>
      <c r="J8" s="30"/>
      <c r="K8" s="53"/>
      <c r="L8" s="46"/>
      <c r="M8" s="47">
        <f>SUMIFS(T_Fe[Total kg],T_Fe[Codigo],T_Info[[#This Row],[Codigo]])</f>
        <v>511842.60320000001</v>
      </c>
      <c r="N8" s="33">
        <f>SUMIFS(T_HA[Total m3],T_HA[Codigo],T_Info[[#This Row],[Codigo]])</f>
        <v>0</v>
      </c>
      <c r="O8" s="48">
        <f>SUMIFS(T_MLD[Total m2],T_MLD[Codigo],T_Info[[#This Row],[Codigo]])</f>
        <v>0</v>
      </c>
      <c r="P8" s="49">
        <f>IFERROR(T_Info[[#This Row],[Fe (kg)]]/T_Info[[#This Row],[HA (m3)]],)</f>
        <v>0</v>
      </c>
      <c r="Q8" s="22">
        <f>IFERROR(T_Info[[#This Row],[Fe (kg)]]/T_Info[[#This Row],[Superficie m2]],)</f>
        <v>36.262316911087495</v>
      </c>
      <c r="R8" s="22">
        <f>IFERROR(T_Info[[#This Row],[HA (m3)]]/T_Info[[#This Row],[Superficie m2]],)</f>
        <v>0</v>
      </c>
      <c r="S8" s="22">
        <f>IFERROR(T_Info[[#This Row],[HA (m3)]]/T_Info[[#This Row],[MLD (m2)]],)</f>
        <v>0</v>
      </c>
      <c r="T8" s="50">
        <f>IFERROR(T_Info[[#This Row],[MLD (m2)]]/T_Info[[#This Row],[Superficie m2]],)</f>
        <v>0</v>
      </c>
      <c r="U8" s="49">
        <f>IFERROR(SUMIFS(T_Fe[Fund kg],T_Fe[Codigo],T_Info[[#This Row],[Codigo]])/SUMIFS(T_HA[Fund m3],T_HA[Codigo],T_Info[[#This Row],[Codigo]]),)</f>
        <v>0</v>
      </c>
      <c r="V8" s="22">
        <f>IFERROR(SUMIFS(T_Fe[Grua kg],T_Fe[Codigo],T_Info[[#This Row],[Codigo]])/SUMIFS(T_HA[Grua m3],T_HA[Codigo],T_Info[[#This Row],[Codigo]]),)</f>
        <v>0</v>
      </c>
      <c r="W8" s="22">
        <f>IFERROR(SUMIFS(T_Fe[Muros kg],T_Fe[Codigo],T_Info[[#This Row],[Codigo]])/SUMIFS(T_HA[Muros Int m3],T_HA[Codigo],T_Info[[#This Row],[Codigo]]),)</f>
        <v>0</v>
      </c>
      <c r="X8" s="22">
        <f>IFERROR(SUMIFS(T_Fe[Perimetrales kg],T_Fe[Codigo],T_Info[[#This Row],[Codigo]])/SUMIFS(T_HA[Perimetrales m3],T_HA[Codigo],T_Info[[#This Row],[Codigo]]),)</f>
        <v>0</v>
      </c>
      <c r="Y8" s="22">
        <f>IFERROR(SUMIFS(T_Fe[Vigas kg],T_Fe[Codigo],T_Info[[#This Row],[Codigo]])/SUMIFS(T_HA[Vigas m3],T_HA[Codigo],T_Info[[#This Row],[Codigo]]),)</f>
        <v>0</v>
      </c>
      <c r="Z8" s="50">
        <f>IFERROR(SUMIFS(T_Fe[Losas kg],T_Fe[Codigo],T_Info[[#This Row],[Codigo]])/SUMIFS(T_HA[Losas m3],T_HA[Codigo],T_Info[[#This Row],[Codigo]]),)</f>
        <v>0</v>
      </c>
      <c r="AA8" s="49">
        <f>SUMIFS(T_Fe[Fund kg/m2],T_Fe[Codigo],T_Info[[#This Row],[Codigo]])</f>
        <v>1.1549052780729721</v>
      </c>
      <c r="AB8" s="22">
        <f>SUMIFS(T_Fe[Muros kg/m2],T_Fe[Codigo],T_Info[[#This Row],[Codigo]])</f>
        <v>13.481893673397098</v>
      </c>
      <c r="AC8" s="22">
        <f>SUMIFS(T_Fe[Perimetrales kg/m2],T_Fe[Codigo],T_Info[[#This Row],[Codigo]])</f>
        <v>0</v>
      </c>
      <c r="AD8" s="22">
        <f>SUMIFS(T_Fe[Vigas kg/m2],T_Fe[Codigo],T_Info[[#This Row],[Codigo]])</f>
        <v>4.9617592490258584</v>
      </c>
      <c r="AE8" s="50">
        <f>SUMIFS(T_Fe[Losas kg/m2],T_Fe[Codigo],T_Info[[#This Row],[Codigo]])</f>
        <v>16.663758710591569</v>
      </c>
      <c r="AF8" s="49">
        <f>IFERROR(SUMIFS(T_HA[Fund m3/m2],T_HA[Codigo],T_Info[[#This Row],[Codigo]]),)</f>
        <v>0</v>
      </c>
      <c r="AG8" s="22">
        <f>IFERROR(SUMIFS(T_HA[Muros Int m3/m2],T_HA[Codigo],T_Info[[#This Row],[Codigo]]),)</f>
        <v>0</v>
      </c>
      <c r="AH8" s="22">
        <f>IFERROR(SUMIFS(T_HA[Perimetrales m3/m2],T_HA[Codigo],T_Info[[#This Row],[Codigo]]),)</f>
        <v>0</v>
      </c>
      <c r="AI8" s="22">
        <f>IFERROR(SUMIFS(T_HA[Vigas m3/m2],T_HA[Codigo],T_Info[[#This Row],[Codigo]]),)</f>
        <v>0</v>
      </c>
      <c r="AJ8" s="50">
        <f>IFERROR(SUMIFS(T_HA[Losas m3/m2],T_HA[Codigo],T_Info[[#This Row],[Codigo]]),)</f>
        <v>0</v>
      </c>
      <c r="AK8" s="22">
        <f>IFERROR(SUMIFS(T_HA[Fund m3],T_HA[Codigo],T_Info[[#This Row],[Codigo]])/SUMIFS(T_MLD[Fund Lat m2],T_MLD[Codigo],T_Info[[#This Row],[Codigo]]),)</f>
        <v>0</v>
      </c>
      <c r="AL8" s="22">
        <f>IFERROR(SUMIFS(T_HA[Muros m3],T_HA[Codigo],T_Info[[#This Row],[Codigo]])/SUMIFS(T_MLD[Muro m2],T_MLD[Codigo],T_Info[[#This Row],[Codigo]]),)</f>
        <v>0</v>
      </c>
      <c r="AM8" s="22">
        <f>IFERROR(SUMIFS(T_HA[Vigas m3],T_HA[Codigo],T_Info[[#This Row],[Codigo]])/(SUMIFS(T_MLD[Viga Lat m2],T_MLD[Codigo],T_Info[[#This Row],[Codigo]])+SUMIFS(T_MLD[Viga Fondo m2],T_MLD[Codigo],T_Info[[#This Row],[Codigo]])),)</f>
        <v>0</v>
      </c>
      <c r="AN8" s="22">
        <f>IFERROR(SUMIFS(T_HA[Losas m3],T_HA[Codigo],T_Info[[#This Row],[Codigo]])/(SUMIFS(T_MLD[Losa Fondo m2],T_MLD[Codigo],T_Info[[#This Row],[Codigo]])+SUMIFS(T_MLD[Rebalse m2],T_MLD[Codigo],T_Info[[#This Row],[Codigo]])),)</f>
        <v>0</v>
      </c>
      <c r="AO8" s="49">
        <f>IFERROR(SUMIFS(T_MLD[Fund Lat m2],T_MLD[Codigo],T_Info[[#This Row],[Codigo]])/T_Info[[#This Row],[Superficie m2]],)</f>
        <v>0</v>
      </c>
      <c r="AP8" s="22">
        <f>IFERROR(SUMIFS(T_MLD[Muro m2],T_MLD[Codigo],T_Info[[#This Row],[Codigo]])/T_Info[[#This Row],[Superficie m2]],)</f>
        <v>0</v>
      </c>
      <c r="AQ8" s="22">
        <f>IFERROR((SUMIFS(T_MLD[Viga Lat m2],T_MLD[Codigo],T_Info[[#This Row],[Codigo]])+SUMIFS(T_MLD[Viga Fondo m2],T_MLD[Codigo],T_Info[[#This Row],[Codigo]]))/T_Info[[#This Row],[Superficie m2]],)</f>
        <v>0</v>
      </c>
      <c r="AR8" s="50">
        <f>IFERROR((SUMIFS(T_MLD[Losa Fondo m2],T_MLD[Codigo],T_Info[[#This Row],[Codigo]])+SUMIFS(T_MLD[Rebalse m2],T_MLD[Codigo],T_Info[[#This Row],[Codigo]]))/T_Info[[#This Row],[Superficie m2]],)</f>
        <v>0</v>
      </c>
    </row>
    <row r="9" spans="1:44" x14ac:dyDescent="0.25">
      <c r="A9" s="52">
        <v>8</v>
      </c>
      <c r="B9" s="34">
        <v>13117</v>
      </c>
      <c r="C9" s="46" t="s">
        <v>89</v>
      </c>
      <c r="D9" s="6" t="s">
        <v>257</v>
      </c>
      <c r="E9" s="45" t="s">
        <v>80</v>
      </c>
      <c r="F9" s="34">
        <v>2</v>
      </c>
      <c r="G9" s="34">
        <v>18</v>
      </c>
      <c r="H9" s="34">
        <v>3</v>
      </c>
      <c r="I9" s="33">
        <v>22577</v>
      </c>
      <c r="J9" s="30"/>
      <c r="K9" s="53"/>
      <c r="L9" s="46"/>
      <c r="M9" s="47">
        <f>SUMIFS(T_Fe[Total kg],T_Fe[Codigo],T_Info[[#This Row],[Codigo]])</f>
        <v>768172.14000000013</v>
      </c>
      <c r="N9" s="33">
        <f>SUMIFS(T_HA[Total m3],T_HA[Codigo],T_Info[[#This Row],[Codigo]])</f>
        <v>0</v>
      </c>
      <c r="O9" s="48">
        <f>SUMIFS(T_MLD[Total m2],T_MLD[Codigo],T_Info[[#This Row],[Codigo]])</f>
        <v>0</v>
      </c>
      <c r="P9" s="49">
        <f>IFERROR(T_Info[[#This Row],[Fe (kg)]]/T_Info[[#This Row],[HA (m3)]],)</f>
        <v>0</v>
      </c>
      <c r="Q9" s="22">
        <f>IFERROR(T_Info[[#This Row],[Fe (kg)]]/T_Info[[#This Row],[Superficie m2]],)</f>
        <v>34.024544447889454</v>
      </c>
      <c r="R9" s="22">
        <f>IFERROR(T_Info[[#This Row],[HA (m3)]]/T_Info[[#This Row],[Superficie m2]],)</f>
        <v>0</v>
      </c>
      <c r="S9" s="22">
        <f>IFERROR(T_Info[[#This Row],[HA (m3)]]/T_Info[[#This Row],[MLD (m2)]],)</f>
        <v>0</v>
      </c>
      <c r="T9" s="50">
        <f>IFERROR(T_Info[[#This Row],[MLD (m2)]]/T_Info[[#This Row],[Superficie m2]],)</f>
        <v>0</v>
      </c>
      <c r="U9" s="49">
        <f>IFERROR(SUMIFS(T_Fe[Fund kg],T_Fe[Codigo],T_Info[[#This Row],[Codigo]])/SUMIFS(T_HA[Fund m3],T_HA[Codigo],T_Info[[#This Row],[Codigo]]),)</f>
        <v>0</v>
      </c>
      <c r="V9" s="22">
        <f>IFERROR(SUMIFS(T_Fe[Grua kg],T_Fe[Codigo],T_Info[[#This Row],[Codigo]])/SUMIFS(T_HA[Grua m3],T_HA[Codigo],T_Info[[#This Row],[Codigo]]),)</f>
        <v>0</v>
      </c>
      <c r="W9" s="22">
        <f>IFERROR(SUMIFS(T_Fe[Muros kg],T_Fe[Codigo],T_Info[[#This Row],[Codigo]])/SUMIFS(T_HA[Muros Int m3],T_HA[Codigo],T_Info[[#This Row],[Codigo]]),)</f>
        <v>0</v>
      </c>
      <c r="X9" s="22">
        <f>IFERROR(SUMIFS(T_Fe[Perimetrales kg],T_Fe[Codigo],T_Info[[#This Row],[Codigo]])/SUMIFS(T_HA[Perimetrales m3],T_HA[Codigo],T_Info[[#This Row],[Codigo]]),)</f>
        <v>0</v>
      </c>
      <c r="Y9" s="22">
        <f>IFERROR(SUMIFS(T_Fe[Vigas kg],T_Fe[Codigo],T_Info[[#This Row],[Codigo]])/SUMIFS(T_HA[Vigas m3],T_HA[Codigo],T_Info[[#This Row],[Codigo]]),)</f>
        <v>0</v>
      </c>
      <c r="Z9" s="50">
        <f>IFERROR(SUMIFS(T_Fe[Losas kg],T_Fe[Codigo],T_Info[[#This Row],[Codigo]])/SUMIFS(T_HA[Losas m3],T_HA[Codigo],T_Info[[#This Row],[Codigo]]),)</f>
        <v>0</v>
      </c>
      <c r="AA9" s="49">
        <f>SUMIFS(T_Fe[Fund kg/m2],T_Fe[Codigo],T_Info[[#This Row],[Codigo]])</f>
        <v>0.98730256455684995</v>
      </c>
      <c r="AB9" s="22">
        <f>SUMIFS(T_Fe[Muros kg/m2],T_Fe[Codigo],T_Info[[#This Row],[Codigo]])</f>
        <v>13.149640784869558</v>
      </c>
      <c r="AC9" s="22">
        <f>SUMIFS(T_Fe[Perimetrales kg/m2],T_Fe[Codigo],T_Info[[#This Row],[Codigo]])</f>
        <v>0</v>
      </c>
      <c r="AD9" s="22">
        <f>SUMIFS(T_Fe[Vigas kg/m2],T_Fe[Codigo],T_Info[[#This Row],[Codigo]])</f>
        <v>4.7048850600168324</v>
      </c>
      <c r="AE9" s="50">
        <f>SUMIFS(T_Fe[Losas kg/m2],T_Fe[Codigo],T_Info[[#This Row],[Codigo]])</f>
        <v>15.182716038446205</v>
      </c>
      <c r="AF9" s="49">
        <f>IFERROR(SUMIFS(T_HA[Fund m3/m2],T_HA[Codigo],T_Info[[#This Row],[Codigo]]),)</f>
        <v>0</v>
      </c>
      <c r="AG9" s="22">
        <f>IFERROR(SUMIFS(T_HA[Muros Int m3/m2],T_HA[Codigo],T_Info[[#This Row],[Codigo]]),)</f>
        <v>0</v>
      </c>
      <c r="AH9" s="22">
        <f>IFERROR(SUMIFS(T_HA[Perimetrales m3/m2],T_HA[Codigo],T_Info[[#This Row],[Codigo]]),)</f>
        <v>0</v>
      </c>
      <c r="AI9" s="22">
        <f>IFERROR(SUMIFS(T_HA[Vigas m3/m2],T_HA[Codigo],T_Info[[#This Row],[Codigo]]),)</f>
        <v>0</v>
      </c>
      <c r="AJ9" s="50">
        <f>IFERROR(SUMIFS(T_HA[Losas m3/m2],T_HA[Codigo],T_Info[[#This Row],[Codigo]]),)</f>
        <v>0</v>
      </c>
      <c r="AK9" s="22">
        <f>IFERROR(SUMIFS(T_HA[Fund m3],T_HA[Codigo],T_Info[[#This Row],[Codigo]])/SUMIFS(T_MLD[Fund Lat m2],T_MLD[Codigo],T_Info[[#This Row],[Codigo]]),)</f>
        <v>0</v>
      </c>
      <c r="AL9" s="22">
        <f>IFERROR(SUMIFS(T_HA[Muros m3],T_HA[Codigo],T_Info[[#This Row],[Codigo]])/SUMIFS(T_MLD[Muro m2],T_MLD[Codigo],T_Info[[#This Row],[Codigo]]),)</f>
        <v>0</v>
      </c>
      <c r="AM9" s="22">
        <f>IFERROR(SUMIFS(T_HA[Vigas m3],T_HA[Codigo],T_Info[[#This Row],[Codigo]])/(SUMIFS(T_MLD[Viga Lat m2],T_MLD[Codigo],T_Info[[#This Row],[Codigo]])+SUMIFS(T_MLD[Viga Fondo m2],T_MLD[Codigo],T_Info[[#This Row],[Codigo]])),)</f>
        <v>0</v>
      </c>
      <c r="AN9" s="22">
        <f>IFERROR(SUMIFS(T_HA[Losas m3],T_HA[Codigo],T_Info[[#This Row],[Codigo]])/(SUMIFS(T_MLD[Losa Fondo m2],T_MLD[Codigo],T_Info[[#This Row],[Codigo]])+SUMIFS(T_MLD[Rebalse m2],T_MLD[Codigo],T_Info[[#This Row],[Codigo]])),)</f>
        <v>0</v>
      </c>
      <c r="AO9" s="49">
        <f>IFERROR(SUMIFS(T_MLD[Fund Lat m2],T_MLD[Codigo],T_Info[[#This Row],[Codigo]])/T_Info[[#This Row],[Superficie m2]],)</f>
        <v>0</v>
      </c>
      <c r="AP9" s="22">
        <f>IFERROR(SUMIFS(T_MLD[Muro m2],T_MLD[Codigo],T_Info[[#This Row],[Codigo]])/T_Info[[#This Row],[Superficie m2]],)</f>
        <v>0</v>
      </c>
      <c r="AQ9" s="22">
        <f>IFERROR((SUMIFS(T_MLD[Viga Lat m2],T_MLD[Codigo],T_Info[[#This Row],[Codigo]])+SUMIFS(T_MLD[Viga Fondo m2],T_MLD[Codigo],T_Info[[#This Row],[Codigo]]))/T_Info[[#This Row],[Superficie m2]],)</f>
        <v>0</v>
      </c>
      <c r="AR9" s="50">
        <f>IFERROR((SUMIFS(T_MLD[Losa Fondo m2],T_MLD[Codigo],T_Info[[#This Row],[Codigo]])+SUMIFS(T_MLD[Rebalse m2],T_MLD[Codigo],T_Info[[#This Row],[Codigo]]))/T_Info[[#This Row],[Superficie m2]],)</f>
        <v>0</v>
      </c>
    </row>
    <row r="10" spans="1:44" x14ac:dyDescent="0.25">
      <c r="A10" s="52">
        <v>9</v>
      </c>
      <c r="B10" s="34">
        <v>13119</v>
      </c>
      <c r="C10" s="46" t="s">
        <v>90</v>
      </c>
      <c r="D10" s="6" t="s">
        <v>255</v>
      </c>
      <c r="E10" s="45" t="s">
        <v>80</v>
      </c>
      <c r="F10" s="34">
        <v>2</v>
      </c>
      <c r="G10" s="34">
        <v>20</v>
      </c>
      <c r="H10" s="34">
        <v>3</v>
      </c>
      <c r="I10" s="33">
        <v>17646</v>
      </c>
      <c r="J10" s="30"/>
      <c r="K10" s="53"/>
      <c r="L10" s="46"/>
      <c r="M10" s="47">
        <f>SUMIFS(T_Fe[Total kg],T_Fe[Codigo],T_Info[[#This Row],[Codigo]])</f>
        <v>586272.13759187586</v>
      </c>
      <c r="N10" s="33">
        <f>SUMIFS(T_HA[Total m3],T_HA[Codigo],T_Info[[#This Row],[Codigo]])</f>
        <v>0</v>
      </c>
      <c r="O10" s="48">
        <f>SUMIFS(T_MLD[Total m2],T_MLD[Codigo],T_Info[[#This Row],[Codigo]])</f>
        <v>0</v>
      </c>
      <c r="P10" s="49">
        <f>IFERROR(T_Info[[#This Row],[Fe (kg)]]/T_Info[[#This Row],[HA (m3)]],)</f>
        <v>0</v>
      </c>
      <c r="Q10" s="22">
        <f>IFERROR(T_Info[[#This Row],[Fe (kg)]]/T_Info[[#This Row],[Superficie m2]],)</f>
        <v>33.22408124174747</v>
      </c>
      <c r="R10" s="22">
        <f>IFERROR(T_Info[[#This Row],[HA (m3)]]/T_Info[[#This Row],[Superficie m2]],)</f>
        <v>0</v>
      </c>
      <c r="S10" s="22">
        <f>IFERROR(T_Info[[#This Row],[HA (m3)]]/T_Info[[#This Row],[MLD (m2)]],)</f>
        <v>0</v>
      </c>
      <c r="T10" s="50">
        <f>IFERROR(T_Info[[#This Row],[MLD (m2)]]/T_Info[[#This Row],[Superficie m2]],)</f>
        <v>0</v>
      </c>
      <c r="U10" s="49">
        <f>IFERROR(SUMIFS(T_Fe[Fund kg],T_Fe[Codigo],T_Info[[#This Row],[Codigo]])/SUMIFS(T_HA[Fund m3],T_HA[Codigo],T_Info[[#This Row],[Codigo]]),)</f>
        <v>0</v>
      </c>
      <c r="V10" s="22">
        <f>IFERROR(SUMIFS(T_Fe[Grua kg],T_Fe[Codigo],T_Info[[#This Row],[Codigo]])/SUMIFS(T_HA[Grua m3],T_HA[Codigo],T_Info[[#This Row],[Codigo]]),)</f>
        <v>0</v>
      </c>
      <c r="W10" s="22">
        <f>IFERROR(SUMIFS(T_Fe[Muros kg],T_Fe[Codigo],T_Info[[#This Row],[Codigo]])/SUMIFS(T_HA[Muros Int m3],T_HA[Codigo],T_Info[[#This Row],[Codigo]]),)</f>
        <v>0</v>
      </c>
      <c r="X10" s="22">
        <f>IFERROR(SUMIFS(T_Fe[Perimetrales kg],T_Fe[Codigo],T_Info[[#This Row],[Codigo]])/SUMIFS(T_HA[Perimetrales m3],T_HA[Codigo],T_Info[[#This Row],[Codigo]]),)</f>
        <v>0</v>
      </c>
      <c r="Y10" s="22">
        <f>IFERROR(SUMIFS(T_Fe[Vigas kg],T_Fe[Codigo],T_Info[[#This Row],[Codigo]])/SUMIFS(T_HA[Vigas m3],T_HA[Codigo],T_Info[[#This Row],[Codigo]]),)</f>
        <v>0</v>
      </c>
      <c r="Z10" s="50">
        <f>IFERROR(SUMIFS(T_Fe[Losas kg],T_Fe[Codigo],T_Info[[#This Row],[Codigo]])/SUMIFS(T_HA[Losas m3],T_HA[Codigo],T_Info[[#This Row],[Codigo]]),)</f>
        <v>0</v>
      </c>
      <c r="AA10" s="49">
        <f>SUMIFS(T_Fe[Fund kg/m2],T_Fe[Codigo],T_Info[[#This Row],[Codigo]])</f>
        <v>0.7066615286097212</v>
      </c>
      <c r="AB10" s="22">
        <f>SUMIFS(T_Fe[Muros kg/m2],T_Fe[Codigo],T_Info[[#This Row],[Codigo]])</f>
        <v>13.963190733363179</v>
      </c>
      <c r="AC10" s="22">
        <f>SUMIFS(T_Fe[Perimetrales kg/m2],T_Fe[Codigo],T_Info[[#This Row],[Codigo]])</f>
        <v>0</v>
      </c>
      <c r="AD10" s="22">
        <f>SUMIFS(T_Fe[Vigas kg/m2],T_Fe[Codigo],T_Info[[#This Row],[Codigo]])</f>
        <v>3.687626161021416</v>
      </c>
      <c r="AE10" s="50">
        <f>SUMIFS(T_Fe[Losas kg/m2],T_Fe[Codigo],T_Info[[#This Row],[Codigo]])</f>
        <v>14.866602818753158</v>
      </c>
      <c r="AF10" s="49">
        <f>IFERROR(SUMIFS(T_HA[Fund m3/m2],T_HA[Codigo],T_Info[[#This Row],[Codigo]]),)</f>
        <v>0</v>
      </c>
      <c r="AG10" s="22">
        <f>IFERROR(SUMIFS(T_HA[Muros Int m3/m2],T_HA[Codigo],T_Info[[#This Row],[Codigo]]),)</f>
        <v>0</v>
      </c>
      <c r="AH10" s="22">
        <f>IFERROR(SUMIFS(T_HA[Perimetrales m3/m2],T_HA[Codigo],T_Info[[#This Row],[Codigo]]),)</f>
        <v>0</v>
      </c>
      <c r="AI10" s="22">
        <f>IFERROR(SUMIFS(T_HA[Vigas m3/m2],T_HA[Codigo],T_Info[[#This Row],[Codigo]]),)</f>
        <v>0</v>
      </c>
      <c r="AJ10" s="50">
        <f>IFERROR(SUMIFS(T_HA[Losas m3/m2],T_HA[Codigo],T_Info[[#This Row],[Codigo]]),)</f>
        <v>0</v>
      </c>
      <c r="AK10" s="22">
        <f>IFERROR(SUMIFS(T_HA[Fund m3],T_HA[Codigo],T_Info[[#This Row],[Codigo]])/SUMIFS(T_MLD[Fund Lat m2],T_MLD[Codigo],T_Info[[#This Row],[Codigo]]),)</f>
        <v>0</v>
      </c>
      <c r="AL10" s="22">
        <f>IFERROR(SUMIFS(T_HA[Muros m3],T_HA[Codigo],T_Info[[#This Row],[Codigo]])/SUMIFS(T_MLD[Muro m2],T_MLD[Codigo],T_Info[[#This Row],[Codigo]]),)</f>
        <v>0</v>
      </c>
      <c r="AM10" s="22">
        <f>IFERROR(SUMIFS(T_HA[Vigas m3],T_HA[Codigo],T_Info[[#This Row],[Codigo]])/(SUMIFS(T_MLD[Viga Lat m2],T_MLD[Codigo],T_Info[[#This Row],[Codigo]])+SUMIFS(T_MLD[Viga Fondo m2],T_MLD[Codigo],T_Info[[#This Row],[Codigo]])),)</f>
        <v>0</v>
      </c>
      <c r="AN10" s="22">
        <f>IFERROR(SUMIFS(T_HA[Losas m3],T_HA[Codigo],T_Info[[#This Row],[Codigo]])/(SUMIFS(T_MLD[Losa Fondo m2],T_MLD[Codigo],T_Info[[#This Row],[Codigo]])+SUMIFS(T_MLD[Rebalse m2],T_MLD[Codigo],T_Info[[#This Row],[Codigo]])),)</f>
        <v>0</v>
      </c>
      <c r="AO10" s="49">
        <f>IFERROR(SUMIFS(T_MLD[Fund Lat m2],T_MLD[Codigo],T_Info[[#This Row],[Codigo]])/T_Info[[#This Row],[Superficie m2]],)</f>
        <v>0</v>
      </c>
      <c r="AP10" s="22">
        <f>IFERROR(SUMIFS(T_MLD[Muro m2],T_MLD[Codigo],T_Info[[#This Row],[Codigo]])/T_Info[[#This Row],[Superficie m2]],)</f>
        <v>0</v>
      </c>
      <c r="AQ10" s="22">
        <f>IFERROR((SUMIFS(T_MLD[Viga Lat m2],T_MLD[Codigo],T_Info[[#This Row],[Codigo]])+SUMIFS(T_MLD[Viga Fondo m2],T_MLD[Codigo],T_Info[[#This Row],[Codigo]]))/T_Info[[#This Row],[Superficie m2]],)</f>
        <v>0</v>
      </c>
      <c r="AR10" s="50">
        <f>IFERROR((SUMIFS(T_MLD[Losa Fondo m2],T_MLD[Codigo],T_Info[[#This Row],[Codigo]])+SUMIFS(T_MLD[Rebalse m2],T_MLD[Codigo],T_Info[[#This Row],[Codigo]]))/T_Info[[#This Row],[Superficie m2]],)</f>
        <v>0</v>
      </c>
    </row>
    <row r="11" spans="1:44" x14ac:dyDescent="0.25">
      <c r="A11" s="52">
        <v>10</v>
      </c>
      <c r="B11" s="34">
        <v>14023</v>
      </c>
      <c r="C11" s="46" t="s">
        <v>264</v>
      </c>
      <c r="D11" s="6" t="s">
        <v>259</v>
      </c>
      <c r="E11" s="45" t="s">
        <v>91</v>
      </c>
      <c r="F11" s="34">
        <v>2</v>
      </c>
      <c r="G11" s="34">
        <v>5</v>
      </c>
      <c r="H11" s="34">
        <v>3</v>
      </c>
      <c r="I11" s="33">
        <v>13695</v>
      </c>
      <c r="J11" s="30"/>
      <c r="K11" s="53"/>
      <c r="L11" s="46"/>
      <c r="M11" s="47">
        <f>SUMIFS(T_Fe[Total kg],T_Fe[Codigo],T_Info[[#This Row],[Codigo]])</f>
        <v>490426.39</v>
      </c>
      <c r="N11" s="33">
        <f>SUMIFS(T_HA[Total m3],T_HA[Codigo],T_Info[[#This Row],[Codigo]])</f>
        <v>0</v>
      </c>
      <c r="O11" s="48">
        <f>SUMIFS(T_MLD[Total m2],T_MLD[Codigo],T_Info[[#This Row],[Codigo]])</f>
        <v>0</v>
      </c>
      <c r="P11" s="49">
        <f>IFERROR(T_Info[[#This Row],[Fe (kg)]]/T_Info[[#This Row],[HA (m3)]],)</f>
        <v>0</v>
      </c>
      <c r="Q11" s="22">
        <f>IFERROR(T_Info[[#This Row],[Fe (kg)]]/T_Info[[#This Row],[Superficie m2]],)</f>
        <v>35.810616283315078</v>
      </c>
      <c r="R11" s="22">
        <f>IFERROR(T_Info[[#This Row],[HA (m3)]]/T_Info[[#This Row],[Superficie m2]],)</f>
        <v>0</v>
      </c>
      <c r="S11" s="22">
        <f>IFERROR(T_Info[[#This Row],[HA (m3)]]/T_Info[[#This Row],[MLD (m2)]],)</f>
        <v>0</v>
      </c>
      <c r="T11" s="50">
        <f>IFERROR(T_Info[[#This Row],[MLD (m2)]]/T_Info[[#This Row],[Superficie m2]],)</f>
        <v>0</v>
      </c>
      <c r="U11" s="49">
        <f>IFERROR(SUMIFS(T_Fe[Fund kg],T_Fe[Codigo],T_Info[[#This Row],[Codigo]])/SUMIFS(T_HA[Fund m3],T_HA[Codigo],T_Info[[#This Row],[Codigo]]),)</f>
        <v>0</v>
      </c>
      <c r="V11" s="22">
        <f>IFERROR(SUMIFS(T_Fe[Grua kg],T_Fe[Codigo],T_Info[[#This Row],[Codigo]])/SUMIFS(T_HA[Grua m3],T_HA[Codigo],T_Info[[#This Row],[Codigo]]),)</f>
        <v>0</v>
      </c>
      <c r="W11" s="22">
        <f>IFERROR(SUMIFS(T_Fe[Muros kg],T_Fe[Codigo],T_Info[[#This Row],[Codigo]])/SUMIFS(T_HA[Muros Int m3],T_HA[Codigo],T_Info[[#This Row],[Codigo]]),)</f>
        <v>0</v>
      </c>
      <c r="X11" s="22">
        <f>IFERROR(SUMIFS(T_Fe[Perimetrales kg],T_Fe[Codigo],T_Info[[#This Row],[Codigo]])/SUMIFS(T_HA[Perimetrales m3],T_HA[Codigo],T_Info[[#This Row],[Codigo]]),)</f>
        <v>0</v>
      </c>
      <c r="Y11" s="22">
        <f>IFERROR(SUMIFS(T_Fe[Vigas kg],T_Fe[Codigo],T_Info[[#This Row],[Codigo]])/SUMIFS(T_HA[Vigas m3],T_HA[Codigo],T_Info[[#This Row],[Codigo]]),)</f>
        <v>0</v>
      </c>
      <c r="Z11" s="50">
        <f>IFERROR(SUMIFS(T_Fe[Losas kg],T_Fe[Codigo],T_Info[[#This Row],[Codigo]])/SUMIFS(T_HA[Losas m3],T_HA[Codigo],T_Info[[#This Row],[Codigo]]),)</f>
        <v>0</v>
      </c>
      <c r="AA11" s="49">
        <f>SUMIFS(T_Fe[Fund kg/m2],T_Fe[Codigo],T_Info[[#This Row],[Codigo]])</f>
        <v>0.42866593647316537</v>
      </c>
      <c r="AB11" s="22">
        <f>SUMIFS(T_Fe[Muros kg/m2],T_Fe[Codigo],T_Info[[#This Row],[Codigo]])</f>
        <v>17.830803943044906</v>
      </c>
      <c r="AC11" s="22">
        <f>SUMIFS(T_Fe[Perimetrales kg/m2],T_Fe[Codigo],T_Info[[#This Row],[Codigo]])</f>
        <v>0</v>
      </c>
      <c r="AD11" s="22">
        <f>SUMIFS(T_Fe[Vigas kg/m2],T_Fe[Codigo],T_Info[[#This Row],[Codigo]])</f>
        <v>3.5929441401971522</v>
      </c>
      <c r="AE11" s="50">
        <f>SUMIFS(T_Fe[Losas kg/m2],T_Fe[Codigo],T_Info[[#This Row],[Codigo]])</f>
        <v>13.958202263599853</v>
      </c>
      <c r="AF11" s="49">
        <f>IFERROR(SUMIFS(T_HA[Fund m3/m2],T_HA[Codigo],T_Info[[#This Row],[Codigo]]),)</f>
        <v>0</v>
      </c>
      <c r="AG11" s="22">
        <f>IFERROR(SUMIFS(T_HA[Muros Int m3/m2],T_HA[Codigo],T_Info[[#This Row],[Codigo]]),)</f>
        <v>0</v>
      </c>
      <c r="AH11" s="22">
        <f>IFERROR(SUMIFS(T_HA[Perimetrales m3/m2],T_HA[Codigo],T_Info[[#This Row],[Codigo]]),)</f>
        <v>0</v>
      </c>
      <c r="AI11" s="22">
        <f>IFERROR(SUMIFS(T_HA[Vigas m3/m2],T_HA[Codigo],T_Info[[#This Row],[Codigo]]),)</f>
        <v>0</v>
      </c>
      <c r="AJ11" s="50">
        <f>IFERROR(SUMIFS(T_HA[Losas m3/m2],T_HA[Codigo],T_Info[[#This Row],[Codigo]]),)</f>
        <v>0</v>
      </c>
      <c r="AK11" s="22">
        <f>IFERROR(SUMIFS(T_HA[Fund m3],T_HA[Codigo],T_Info[[#This Row],[Codigo]])/SUMIFS(T_MLD[Fund Lat m2],T_MLD[Codigo],T_Info[[#This Row],[Codigo]]),)</f>
        <v>0</v>
      </c>
      <c r="AL11" s="22">
        <f>IFERROR(SUMIFS(T_HA[Muros m3],T_HA[Codigo],T_Info[[#This Row],[Codigo]])/SUMIFS(T_MLD[Muro m2],T_MLD[Codigo],T_Info[[#This Row],[Codigo]]),)</f>
        <v>0</v>
      </c>
      <c r="AM11" s="22">
        <f>IFERROR(SUMIFS(T_HA[Vigas m3],T_HA[Codigo],T_Info[[#This Row],[Codigo]])/(SUMIFS(T_MLD[Viga Lat m2],T_MLD[Codigo],T_Info[[#This Row],[Codigo]])+SUMIFS(T_MLD[Viga Fondo m2],T_MLD[Codigo],T_Info[[#This Row],[Codigo]])),)</f>
        <v>0</v>
      </c>
      <c r="AN11" s="22">
        <f>IFERROR(SUMIFS(T_HA[Losas m3],T_HA[Codigo],T_Info[[#This Row],[Codigo]])/(SUMIFS(T_MLD[Losa Fondo m2],T_MLD[Codigo],T_Info[[#This Row],[Codigo]])+SUMIFS(T_MLD[Rebalse m2],T_MLD[Codigo],T_Info[[#This Row],[Codigo]])),)</f>
        <v>0</v>
      </c>
      <c r="AO11" s="49">
        <f>IFERROR(SUMIFS(T_MLD[Fund Lat m2],T_MLD[Codigo],T_Info[[#This Row],[Codigo]])/T_Info[[#This Row],[Superficie m2]],)</f>
        <v>0</v>
      </c>
      <c r="AP11" s="22">
        <f>IFERROR(SUMIFS(T_MLD[Muro m2],T_MLD[Codigo],T_Info[[#This Row],[Codigo]])/T_Info[[#This Row],[Superficie m2]],)</f>
        <v>0</v>
      </c>
      <c r="AQ11" s="22">
        <f>IFERROR((SUMIFS(T_MLD[Viga Lat m2],T_MLD[Codigo],T_Info[[#This Row],[Codigo]])+SUMIFS(T_MLD[Viga Fondo m2],T_MLD[Codigo],T_Info[[#This Row],[Codigo]]))/T_Info[[#This Row],[Superficie m2]],)</f>
        <v>0</v>
      </c>
      <c r="AR11" s="50">
        <f>IFERROR((SUMIFS(T_MLD[Losa Fondo m2],T_MLD[Codigo],T_Info[[#This Row],[Codigo]])+SUMIFS(T_MLD[Rebalse m2],T_MLD[Codigo],T_Info[[#This Row],[Codigo]]))/T_Info[[#This Row],[Superficie m2]],)</f>
        <v>0</v>
      </c>
    </row>
    <row r="12" spans="1:44" x14ac:dyDescent="0.25">
      <c r="A12" s="52">
        <v>11</v>
      </c>
      <c r="B12" s="34">
        <v>14040</v>
      </c>
      <c r="C12" s="46" t="s">
        <v>92</v>
      </c>
      <c r="D12" s="6" t="s">
        <v>255</v>
      </c>
      <c r="E12" s="45" t="s">
        <v>85</v>
      </c>
      <c r="F12" s="34">
        <v>3</v>
      </c>
      <c r="G12" s="34">
        <v>24</v>
      </c>
      <c r="H12" s="34">
        <v>2</v>
      </c>
      <c r="I12" s="33">
        <v>15443</v>
      </c>
      <c r="J12" s="30"/>
      <c r="K12" s="53"/>
      <c r="L12" s="46"/>
      <c r="M12" s="47">
        <f>SUMIFS(T_Fe[Total kg],T_Fe[Codigo],T_Info[[#This Row],[Codigo]])</f>
        <v>1148023.9956</v>
      </c>
      <c r="N12" s="33">
        <f>SUMIFS(T_HA[Total m3],T_HA[Codigo],T_Info[[#This Row],[Codigo]])</f>
        <v>0</v>
      </c>
      <c r="O12" s="48">
        <f>SUMIFS(T_MLD[Total m2],T_MLD[Codigo],T_Info[[#This Row],[Codigo]])</f>
        <v>0</v>
      </c>
      <c r="P12" s="49">
        <f>IFERROR(T_Info[[#This Row],[Fe (kg)]]/T_Info[[#This Row],[HA (m3)]],)</f>
        <v>0</v>
      </c>
      <c r="Q12" s="22">
        <f>IFERROR(T_Info[[#This Row],[Fe (kg)]]/T_Info[[#This Row],[Superficie m2]],)</f>
        <v>74.339441533380821</v>
      </c>
      <c r="R12" s="22">
        <f>IFERROR(T_Info[[#This Row],[HA (m3)]]/T_Info[[#This Row],[Superficie m2]],)</f>
        <v>0</v>
      </c>
      <c r="S12" s="22">
        <f>IFERROR(T_Info[[#This Row],[HA (m3)]]/T_Info[[#This Row],[MLD (m2)]],)</f>
        <v>0</v>
      </c>
      <c r="T12" s="50">
        <f>IFERROR(T_Info[[#This Row],[MLD (m2)]]/T_Info[[#This Row],[Superficie m2]],)</f>
        <v>0</v>
      </c>
      <c r="U12" s="49">
        <f>IFERROR(SUMIFS(T_Fe[Fund kg],T_Fe[Codigo],T_Info[[#This Row],[Codigo]])/SUMIFS(T_HA[Fund m3],T_HA[Codigo],T_Info[[#This Row],[Codigo]]),)</f>
        <v>0</v>
      </c>
      <c r="V12" s="22">
        <f>IFERROR(SUMIFS(T_Fe[Grua kg],T_Fe[Codigo],T_Info[[#This Row],[Codigo]])/SUMIFS(T_HA[Grua m3],T_HA[Codigo],T_Info[[#This Row],[Codigo]]),)</f>
        <v>0</v>
      </c>
      <c r="W12" s="22">
        <f>IFERROR(SUMIFS(T_Fe[Muros kg],T_Fe[Codigo],T_Info[[#This Row],[Codigo]])/SUMIFS(T_HA[Muros Int m3],T_HA[Codigo],T_Info[[#This Row],[Codigo]]),)</f>
        <v>0</v>
      </c>
      <c r="X12" s="22">
        <f>IFERROR(SUMIFS(T_Fe[Perimetrales kg],T_Fe[Codigo],T_Info[[#This Row],[Codigo]])/SUMIFS(T_HA[Perimetrales m3],T_HA[Codigo],T_Info[[#This Row],[Codigo]]),)</f>
        <v>0</v>
      </c>
      <c r="Y12" s="22">
        <f>IFERROR(SUMIFS(T_Fe[Vigas kg],T_Fe[Codigo],T_Info[[#This Row],[Codigo]])/SUMIFS(T_HA[Vigas m3],T_HA[Codigo],T_Info[[#This Row],[Codigo]]),)</f>
        <v>0</v>
      </c>
      <c r="Z12" s="50">
        <f>IFERROR(SUMIFS(T_Fe[Losas kg],T_Fe[Codigo],T_Info[[#This Row],[Codigo]])/SUMIFS(T_HA[Losas m3],T_HA[Codigo],T_Info[[#This Row],[Codigo]]),)</f>
        <v>0</v>
      </c>
      <c r="AA12" s="49">
        <f>SUMIFS(T_Fe[Fund kg/m2],T_Fe[Codigo],T_Info[[#This Row],[Codigo]])</f>
        <v>5.6449783073237061</v>
      </c>
      <c r="AB12" s="22">
        <f>SUMIFS(T_Fe[Muros kg/m2],T_Fe[Codigo],T_Info[[#This Row],[Codigo]])</f>
        <v>39.428691316454056</v>
      </c>
      <c r="AC12" s="22">
        <f>SUMIFS(T_Fe[Perimetrales kg/m2],T_Fe[Codigo],T_Info[[#This Row],[Codigo]])</f>
        <v>0</v>
      </c>
      <c r="AD12" s="22">
        <f>SUMIFS(T_Fe[Vigas kg/m2],T_Fe[Codigo],T_Info[[#This Row],[Codigo]])</f>
        <v>11.952423078417407</v>
      </c>
      <c r="AE12" s="50">
        <f>SUMIFS(T_Fe[Losas kg/m2],T_Fe[Codigo],T_Info[[#This Row],[Codigo]])</f>
        <v>17.313348831185653</v>
      </c>
      <c r="AF12" s="49">
        <f>IFERROR(SUMIFS(T_HA[Fund m3/m2],T_HA[Codigo],T_Info[[#This Row],[Codigo]]),)</f>
        <v>0</v>
      </c>
      <c r="AG12" s="22">
        <f>IFERROR(SUMIFS(T_HA[Muros Int m3/m2],T_HA[Codigo],T_Info[[#This Row],[Codigo]]),)</f>
        <v>0</v>
      </c>
      <c r="AH12" s="22">
        <f>IFERROR(SUMIFS(T_HA[Perimetrales m3/m2],T_HA[Codigo],T_Info[[#This Row],[Codigo]]),)</f>
        <v>0</v>
      </c>
      <c r="AI12" s="22">
        <f>IFERROR(SUMIFS(T_HA[Vigas m3/m2],T_HA[Codigo],T_Info[[#This Row],[Codigo]]),)</f>
        <v>0</v>
      </c>
      <c r="AJ12" s="50">
        <f>IFERROR(SUMIFS(T_HA[Losas m3/m2],T_HA[Codigo],T_Info[[#This Row],[Codigo]]),)</f>
        <v>0</v>
      </c>
      <c r="AK12" s="22">
        <f>IFERROR(SUMIFS(T_HA[Fund m3],T_HA[Codigo],T_Info[[#This Row],[Codigo]])/SUMIFS(T_MLD[Fund Lat m2],T_MLD[Codigo],T_Info[[#This Row],[Codigo]]),)</f>
        <v>0</v>
      </c>
      <c r="AL12" s="22">
        <f>IFERROR(SUMIFS(T_HA[Muros m3],T_HA[Codigo],T_Info[[#This Row],[Codigo]])/SUMIFS(T_MLD[Muro m2],T_MLD[Codigo],T_Info[[#This Row],[Codigo]]),)</f>
        <v>0</v>
      </c>
      <c r="AM12" s="22">
        <f>IFERROR(SUMIFS(T_HA[Vigas m3],T_HA[Codigo],T_Info[[#This Row],[Codigo]])/(SUMIFS(T_MLD[Viga Lat m2],T_MLD[Codigo],T_Info[[#This Row],[Codigo]])+SUMIFS(T_MLD[Viga Fondo m2],T_MLD[Codigo],T_Info[[#This Row],[Codigo]])),)</f>
        <v>0</v>
      </c>
      <c r="AN12" s="22">
        <f>IFERROR(SUMIFS(T_HA[Losas m3],T_HA[Codigo],T_Info[[#This Row],[Codigo]])/(SUMIFS(T_MLD[Losa Fondo m2],T_MLD[Codigo],T_Info[[#This Row],[Codigo]])+SUMIFS(T_MLD[Rebalse m2],T_MLD[Codigo],T_Info[[#This Row],[Codigo]])),)</f>
        <v>0</v>
      </c>
      <c r="AO12" s="49">
        <f>IFERROR(SUMIFS(T_MLD[Fund Lat m2],T_MLD[Codigo],T_Info[[#This Row],[Codigo]])/T_Info[[#This Row],[Superficie m2]],)</f>
        <v>0</v>
      </c>
      <c r="AP12" s="22">
        <f>IFERROR(SUMIFS(T_MLD[Muro m2],T_MLD[Codigo],T_Info[[#This Row],[Codigo]])/T_Info[[#This Row],[Superficie m2]],)</f>
        <v>0</v>
      </c>
      <c r="AQ12" s="22">
        <f>IFERROR((SUMIFS(T_MLD[Viga Lat m2],T_MLD[Codigo],T_Info[[#This Row],[Codigo]])+SUMIFS(T_MLD[Viga Fondo m2],T_MLD[Codigo],T_Info[[#This Row],[Codigo]]))/T_Info[[#This Row],[Superficie m2]],)</f>
        <v>0</v>
      </c>
      <c r="AR12" s="50">
        <f>IFERROR((SUMIFS(T_MLD[Losa Fondo m2],T_MLD[Codigo],T_Info[[#This Row],[Codigo]])+SUMIFS(T_MLD[Rebalse m2],T_MLD[Codigo],T_Info[[#This Row],[Codigo]]))/T_Info[[#This Row],[Superficie m2]],)</f>
        <v>0</v>
      </c>
    </row>
    <row r="13" spans="1:44" x14ac:dyDescent="0.25">
      <c r="A13" s="52">
        <v>12</v>
      </c>
      <c r="B13" s="34">
        <v>14077</v>
      </c>
      <c r="C13" s="46" t="s">
        <v>93</v>
      </c>
      <c r="D13" s="6" t="s">
        <v>255</v>
      </c>
      <c r="E13" s="45" t="s">
        <v>80</v>
      </c>
      <c r="F13" s="34">
        <v>2</v>
      </c>
      <c r="G13" s="34">
        <v>14</v>
      </c>
      <c r="H13" s="34">
        <v>2</v>
      </c>
      <c r="I13" s="33">
        <v>14752</v>
      </c>
      <c r="J13" s="30"/>
      <c r="K13" s="53"/>
      <c r="L13" s="46"/>
      <c r="M13" s="47">
        <f>SUMIFS(T_Fe[Total kg],T_Fe[Codigo],T_Info[[#This Row],[Codigo]])</f>
        <v>482122.86260000005</v>
      </c>
      <c r="N13" s="33">
        <f>SUMIFS(T_HA[Total m3],T_HA[Codigo],T_Info[[#This Row],[Codigo]])</f>
        <v>0</v>
      </c>
      <c r="O13" s="48">
        <f>SUMIFS(T_MLD[Total m2],T_MLD[Codigo],T_Info[[#This Row],[Codigo]])</f>
        <v>0</v>
      </c>
      <c r="P13" s="49">
        <f>IFERROR(T_Info[[#This Row],[Fe (kg)]]/T_Info[[#This Row],[HA (m3)]],)</f>
        <v>0</v>
      </c>
      <c r="Q13" s="22">
        <f>IFERROR(T_Info[[#This Row],[Fe (kg)]]/T_Info[[#This Row],[Superficie m2]],)</f>
        <v>32.681864330260311</v>
      </c>
      <c r="R13" s="22">
        <f>IFERROR(T_Info[[#This Row],[HA (m3)]]/T_Info[[#This Row],[Superficie m2]],)</f>
        <v>0</v>
      </c>
      <c r="S13" s="22">
        <f>IFERROR(T_Info[[#This Row],[HA (m3)]]/T_Info[[#This Row],[MLD (m2)]],)</f>
        <v>0</v>
      </c>
      <c r="T13" s="50">
        <f>IFERROR(T_Info[[#This Row],[MLD (m2)]]/T_Info[[#This Row],[Superficie m2]],)</f>
        <v>0</v>
      </c>
      <c r="U13" s="49">
        <f>IFERROR(SUMIFS(T_Fe[Fund kg],T_Fe[Codigo],T_Info[[#This Row],[Codigo]])/SUMIFS(T_HA[Fund m3],T_HA[Codigo],T_Info[[#This Row],[Codigo]]),)</f>
        <v>0</v>
      </c>
      <c r="V13" s="22">
        <f>IFERROR(SUMIFS(T_Fe[Grua kg],T_Fe[Codigo],T_Info[[#This Row],[Codigo]])/SUMIFS(T_HA[Grua m3],T_HA[Codigo],T_Info[[#This Row],[Codigo]]),)</f>
        <v>0</v>
      </c>
      <c r="W13" s="22">
        <f>IFERROR(SUMIFS(T_Fe[Muros kg],T_Fe[Codigo],T_Info[[#This Row],[Codigo]])/SUMIFS(T_HA[Muros Int m3],T_HA[Codigo],T_Info[[#This Row],[Codigo]]),)</f>
        <v>0</v>
      </c>
      <c r="X13" s="22">
        <f>IFERROR(SUMIFS(T_Fe[Perimetrales kg],T_Fe[Codigo],T_Info[[#This Row],[Codigo]])/SUMIFS(T_HA[Perimetrales m3],T_HA[Codigo],T_Info[[#This Row],[Codigo]]),)</f>
        <v>0</v>
      </c>
      <c r="Y13" s="22">
        <f>IFERROR(SUMIFS(T_Fe[Vigas kg],T_Fe[Codigo],T_Info[[#This Row],[Codigo]])/SUMIFS(T_HA[Vigas m3],T_HA[Codigo],T_Info[[#This Row],[Codigo]]),)</f>
        <v>0</v>
      </c>
      <c r="Z13" s="50">
        <f>IFERROR(SUMIFS(T_Fe[Losas kg],T_Fe[Codigo],T_Info[[#This Row],[Codigo]])/SUMIFS(T_HA[Losas m3],T_HA[Codigo],T_Info[[#This Row],[Codigo]]),)</f>
        <v>0</v>
      </c>
      <c r="AA13" s="49">
        <f>SUMIFS(T_Fe[Fund kg/m2],T_Fe[Codigo],T_Info[[#This Row],[Codigo]])</f>
        <v>0.70233947939262475</v>
      </c>
      <c r="AB13" s="22">
        <f>SUMIFS(T_Fe[Muros kg/m2],T_Fe[Codigo],T_Info[[#This Row],[Codigo]])</f>
        <v>13.370142353579176</v>
      </c>
      <c r="AC13" s="22">
        <f>SUMIFS(T_Fe[Perimetrales kg/m2],T_Fe[Codigo],T_Info[[#This Row],[Codigo]])</f>
        <v>0</v>
      </c>
      <c r="AD13" s="22">
        <f>SUMIFS(T_Fe[Vigas kg/m2],T_Fe[Codigo],T_Info[[#This Row],[Codigo]])</f>
        <v>4.6171486849240777</v>
      </c>
      <c r="AE13" s="50">
        <f>SUMIFS(T_Fe[Losas kg/m2],T_Fe[Codigo],T_Info[[#This Row],[Codigo]])</f>
        <v>13.992233812364427</v>
      </c>
      <c r="AF13" s="49">
        <f>IFERROR(SUMIFS(T_HA[Fund m3/m2],T_HA[Codigo],T_Info[[#This Row],[Codigo]]),)</f>
        <v>0</v>
      </c>
      <c r="AG13" s="22">
        <f>IFERROR(SUMIFS(T_HA[Muros Int m3/m2],T_HA[Codigo],T_Info[[#This Row],[Codigo]]),)</f>
        <v>0</v>
      </c>
      <c r="AH13" s="22">
        <f>IFERROR(SUMIFS(T_HA[Perimetrales m3/m2],T_HA[Codigo],T_Info[[#This Row],[Codigo]]),)</f>
        <v>0</v>
      </c>
      <c r="AI13" s="22">
        <f>IFERROR(SUMIFS(T_HA[Vigas m3/m2],T_HA[Codigo],T_Info[[#This Row],[Codigo]]),)</f>
        <v>0</v>
      </c>
      <c r="AJ13" s="50">
        <f>IFERROR(SUMIFS(T_HA[Losas m3/m2],T_HA[Codigo],T_Info[[#This Row],[Codigo]]),)</f>
        <v>0</v>
      </c>
      <c r="AK13" s="22">
        <f>IFERROR(SUMIFS(T_HA[Fund m3],T_HA[Codigo],T_Info[[#This Row],[Codigo]])/SUMIFS(T_MLD[Fund Lat m2],T_MLD[Codigo],T_Info[[#This Row],[Codigo]]),)</f>
        <v>0</v>
      </c>
      <c r="AL13" s="22">
        <f>IFERROR(SUMIFS(T_HA[Muros m3],T_HA[Codigo],T_Info[[#This Row],[Codigo]])/SUMIFS(T_MLD[Muro m2],T_MLD[Codigo],T_Info[[#This Row],[Codigo]]),)</f>
        <v>0</v>
      </c>
      <c r="AM13" s="22">
        <f>IFERROR(SUMIFS(T_HA[Vigas m3],T_HA[Codigo],T_Info[[#This Row],[Codigo]])/(SUMIFS(T_MLD[Viga Lat m2],T_MLD[Codigo],T_Info[[#This Row],[Codigo]])+SUMIFS(T_MLD[Viga Fondo m2],T_MLD[Codigo],T_Info[[#This Row],[Codigo]])),)</f>
        <v>0</v>
      </c>
      <c r="AN13" s="22">
        <f>IFERROR(SUMIFS(T_HA[Losas m3],T_HA[Codigo],T_Info[[#This Row],[Codigo]])/(SUMIFS(T_MLD[Losa Fondo m2],T_MLD[Codigo],T_Info[[#This Row],[Codigo]])+SUMIFS(T_MLD[Rebalse m2],T_MLD[Codigo],T_Info[[#This Row],[Codigo]])),)</f>
        <v>0</v>
      </c>
      <c r="AO13" s="49">
        <f>IFERROR(SUMIFS(T_MLD[Fund Lat m2],T_MLD[Codigo],T_Info[[#This Row],[Codigo]])/T_Info[[#This Row],[Superficie m2]],)</f>
        <v>0</v>
      </c>
      <c r="AP13" s="22">
        <f>IFERROR(SUMIFS(T_MLD[Muro m2],T_MLD[Codigo],T_Info[[#This Row],[Codigo]])/T_Info[[#This Row],[Superficie m2]],)</f>
        <v>0</v>
      </c>
      <c r="AQ13" s="22">
        <f>IFERROR((SUMIFS(T_MLD[Viga Lat m2],T_MLD[Codigo],T_Info[[#This Row],[Codigo]])+SUMIFS(T_MLD[Viga Fondo m2],T_MLD[Codigo],T_Info[[#This Row],[Codigo]]))/T_Info[[#This Row],[Superficie m2]],)</f>
        <v>0</v>
      </c>
      <c r="AR13" s="50">
        <f>IFERROR((SUMIFS(T_MLD[Losa Fondo m2],T_MLD[Codigo],T_Info[[#This Row],[Codigo]])+SUMIFS(T_MLD[Rebalse m2],T_MLD[Codigo],T_Info[[#This Row],[Codigo]]))/T_Info[[#This Row],[Superficie m2]],)</f>
        <v>0</v>
      </c>
    </row>
    <row r="14" spans="1:44" x14ac:dyDescent="0.25">
      <c r="A14" s="52">
        <v>13</v>
      </c>
      <c r="B14" s="34">
        <v>14088</v>
      </c>
      <c r="C14" s="46" t="s">
        <v>94</v>
      </c>
      <c r="D14" s="6" t="s">
        <v>255</v>
      </c>
      <c r="E14" s="45" t="s">
        <v>85</v>
      </c>
      <c r="F14" s="34">
        <v>2</v>
      </c>
      <c r="G14" s="34">
        <v>18</v>
      </c>
      <c r="H14" s="34">
        <v>2</v>
      </c>
      <c r="I14" s="33">
        <v>14649</v>
      </c>
      <c r="J14" s="30"/>
      <c r="K14" s="53"/>
      <c r="L14" s="46"/>
      <c r="M14" s="47">
        <f>SUMIFS(T_Fe[Total kg],T_Fe[Codigo],T_Info[[#This Row],[Codigo]])</f>
        <v>783721.5</v>
      </c>
      <c r="N14" s="33">
        <f>SUMIFS(T_HA[Total m3],T_HA[Codigo],T_Info[[#This Row],[Codigo]])</f>
        <v>0</v>
      </c>
      <c r="O14" s="48">
        <f>SUMIFS(T_MLD[Total m2],T_MLD[Codigo],T_Info[[#This Row],[Codigo]])</f>
        <v>0</v>
      </c>
      <c r="P14" s="49">
        <f>IFERROR(T_Info[[#This Row],[Fe (kg)]]/T_Info[[#This Row],[HA (m3)]],)</f>
        <v>0</v>
      </c>
      <c r="Q14" s="22">
        <f>IFERROR(T_Info[[#This Row],[Fe (kg)]]/T_Info[[#This Row],[Superficie m2]],)</f>
        <v>53.5</v>
      </c>
      <c r="R14" s="22">
        <f>IFERROR(T_Info[[#This Row],[HA (m3)]]/T_Info[[#This Row],[Superficie m2]],)</f>
        <v>0</v>
      </c>
      <c r="S14" s="22">
        <f>IFERROR(T_Info[[#This Row],[HA (m3)]]/T_Info[[#This Row],[MLD (m2)]],)</f>
        <v>0</v>
      </c>
      <c r="T14" s="50">
        <f>IFERROR(T_Info[[#This Row],[MLD (m2)]]/T_Info[[#This Row],[Superficie m2]],)</f>
        <v>0</v>
      </c>
      <c r="U14" s="49">
        <f>IFERROR(SUMIFS(T_Fe[Fund kg],T_Fe[Codigo],T_Info[[#This Row],[Codigo]])/SUMIFS(T_HA[Fund m3],T_HA[Codigo],T_Info[[#This Row],[Codigo]]),)</f>
        <v>0</v>
      </c>
      <c r="V14" s="22">
        <f>IFERROR(SUMIFS(T_Fe[Grua kg],T_Fe[Codigo],T_Info[[#This Row],[Codigo]])/SUMIFS(T_HA[Grua m3],T_HA[Codigo],T_Info[[#This Row],[Codigo]]),)</f>
        <v>0</v>
      </c>
      <c r="W14" s="22">
        <f>IFERROR(SUMIFS(T_Fe[Muros kg],T_Fe[Codigo],T_Info[[#This Row],[Codigo]])/SUMIFS(T_HA[Muros Int m3],T_HA[Codigo],T_Info[[#This Row],[Codigo]]),)</f>
        <v>0</v>
      </c>
      <c r="X14" s="22">
        <f>IFERROR(SUMIFS(T_Fe[Perimetrales kg],T_Fe[Codigo],T_Info[[#This Row],[Codigo]])/SUMIFS(T_HA[Perimetrales m3],T_HA[Codigo],T_Info[[#This Row],[Codigo]]),)</f>
        <v>0</v>
      </c>
      <c r="Y14" s="22">
        <f>IFERROR(SUMIFS(T_Fe[Vigas kg],T_Fe[Codigo],T_Info[[#This Row],[Codigo]])/SUMIFS(T_HA[Vigas m3],T_HA[Codigo],T_Info[[#This Row],[Codigo]]),)</f>
        <v>0</v>
      </c>
      <c r="Z14" s="50">
        <f>IFERROR(SUMIFS(T_Fe[Losas kg],T_Fe[Codigo],T_Info[[#This Row],[Codigo]])/SUMIFS(T_HA[Losas m3],T_HA[Codigo],T_Info[[#This Row],[Codigo]]),)</f>
        <v>0</v>
      </c>
      <c r="AA14" s="49">
        <f>SUMIFS(T_Fe[Fund kg/m2],T_Fe[Codigo],T_Info[[#This Row],[Codigo]])</f>
        <v>7.5</v>
      </c>
      <c r="AB14" s="22">
        <f>SUMIFS(T_Fe[Muros kg/m2],T_Fe[Codigo],T_Info[[#This Row],[Codigo]])</f>
        <v>23.9</v>
      </c>
      <c r="AC14" s="22">
        <f>SUMIFS(T_Fe[Perimetrales kg/m2],T_Fe[Codigo],T_Info[[#This Row],[Codigo]])</f>
        <v>0</v>
      </c>
      <c r="AD14" s="22">
        <f>SUMIFS(T_Fe[Vigas kg/m2],T_Fe[Codigo],T_Info[[#This Row],[Codigo]])</f>
        <v>6.7</v>
      </c>
      <c r="AE14" s="50">
        <f>SUMIFS(T_Fe[Losas kg/m2],T_Fe[Codigo],T_Info[[#This Row],[Codigo]])</f>
        <v>15.4</v>
      </c>
      <c r="AF14" s="49">
        <f>IFERROR(SUMIFS(T_HA[Fund m3/m2],T_HA[Codigo],T_Info[[#This Row],[Codigo]]),)</f>
        <v>0</v>
      </c>
      <c r="AG14" s="22">
        <f>IFERROR(SUMIFS(T_HA[Muros Int m3/m2],T_HA[Codigo],T_Info[[#This Row],[Codigo]]),)</f>
        <v>0</v>
      </c>
      <c r="AH14" s="22">
        <f>IFERROR(SUMIFS(T_HA[Perimetrales m3/m2],T_HA[Codigo],T_Info[[#This Row],[Codigo]]),)</f>
        <v>0</v>
      </c>
      <c r="AI14" s="22">
        <f>IFERROR(SUMIFS(T_HA[Vigas m3/m2],T_HA[Codigo],T_Info[[#This Row],[Codigo]]),)</f>
        <v>0</v>
      </c>
      <c r="AJ14" s="50">
        <f>IFERROR(SUMIFS(T_HA[Losas m3/m2],T_HA[Codigo],T_Info[[#This Row],[Codigo]]),)</f>
        <v>0</v>
      </c>
      <c r="AK14" s="22">
        <f>IFERROR(SUMIFS(T_HA[Fund m3],T_HA[Codigo],T_Info[[#This Row],[Codigo]])/SUMIFS(T_MLD[Fund Lat m2],T_MLD[Codigo],T_Info[[#This Row],[Codigo]]),)</f>
        <v>0</v>
      </c>
      <c r="AL14" s="22">
        <f>IFERROR(SUMIFS(T_HA[Muros m3],T_HA[Codigo],T_Info[[#This Row],[Codigo]])/SUMIFS(T_MLD[Muro m2],T_MLD[Codigo],T_Info[[#This Row],[Codigo]]),)</f>
        <v>0</v>
      </c>
      <c r="AM14" s="22">
        <f>IFERROR(SUMIFS(T_HA[Vigas m3],T_HA[Codigo],T_Info[[#This Row],[Codigo]])/(SUMIFS(T_MLD[Viga Lat m2],T_MLD[Codigo],T_Info[[#This Row],[Codigo]])+SUMIFS(T_MLD[Viga Fondo m2],T_MLD[Codigo],T_Info[[#This Row],[Codigo]])),)</f>
        <v>0</v>
      </c>
      <c r="AN14" s="22">
        <f>IFERROR(SUMIFS(T_HA[Losas m3],T_HA[Codigo],T_Info[[#This Row],[Codigo]])/(SUMIFS(T_MLD[Losa Fondo m2],T_MLD[Codigo],T_Info[[#This Row],[Codigo]])+SUMIFS(T_MLD[Rebalse m2],T_MLD[Codigo],T_Info[[#This Row],[Codigo]])),)</f>
        <v>0</v>
      </c>
      <c r="AO14" s="49">
        <f>IFERROR(SUMIFS(T_MLD[Fund Lat m2],T_MLD[Codigo],T_Info[[#This Row],[Codigo]])/T_Info[[#This Row],[Superficie m2]],)</f>
        <v>0</v>
      </c>
      <c r="AP14" s="22">
        <f>IFERROR(SUMIFS(T_MLD[Muro m2],T_MLD[Codigo],T_Info[[#This Row],[Codigo]])/T_Info[[#This Row],[Superficie m2]],)</f>
        <v>0</v>
      </c>
      <c r="AQ14" s="22">
        <f>IFERROR((SUMIFS(T_MLD[Viga Lat m2],T_MLD[Codigo],T_Info[[#This Row],[Codigo]])+SUMIFS(T_MLD[Viga Fondo m2],T_MLD[Codigo],T_Info[[#This Row],[Codigo]]))/T_Info[[#This Row],[Superficie m2]],)</f>
        <v>0</v>
      </c>
      <c r="AR14" s="50">
        <f>IFERROR((SUMIFS(T_MLD[Losa Fondo m2],T_MLD[Codigo],T_Info[[#This Row],[Codigo]])+SUMIFS(T_MLD[Rebalse m2],T_MLD[Codigo],T_Info[[#This Row],[Codigo]]))/T_Info[[#This Row],[Superficie m2]],)</f>
        <v>0</v>
      </c>
    </row>
    <row r="15" spans="1:44" x14ac:dyDescent="0.25">
      <c r="A15" s="52">
        <v>14</v>
      </c>
      <c r="B15" s="34">
        <v>14097</v>
      </c>
      <c r="C15" s="46" t="s">
        <v>258</v>
      </c>
      <c r="D15" s="6" t="s">
        <v>255</v>
      </c>
      <c r="E15" s="45" t="s">
        <v>80</v>
      </c>
      <c r="F15" s="34">
        <v>2</v>
      </c>
      <c r="G15" s="34">
        <v>9</v>
      </c>
      <c r="H15" s="34">
        <v>2</v>
      </c>
      <c r="I15" s="33">
        <v>10798</v>
      </c>
      <c r="J15" s="30"/>
      <c r="K15" s="53"/>
      <c r="L15" s="46"/>
      <c r="M15" s="47">
        <f>SUMIFS(T_Fe[Total kg],T_Fe[Codigo],T_Info[[#This Row],[Codigo]])</f>
        <v>320856.11400000006</v>
      </c>
      <c r="N15" s="33">
        <f>SUMIFS(T_HA[Total m3],T_HA[Codigo],T_Info[[#This Row],[Codigo]])</f>
        <v>0</v>
      </c>
      <c r="O15" s="48">
        <f>SUMIFS(T_MLD[Total m2],T_MLD[Codigo],T_Info[[#This Row],[Codigo]])</f>
        <v>0</v>
      </c>
      <c r="P15" s="49">
        <f>IFERROR(T_Info[[#This Row],[Fe (kg)]]/T_Info[[#This Row],[HA (m3)]],)</f>
        <v>0</v>
      </c>
      <c r="Q15" s="22">
        <f>IFERROR(T_Info[[#This Row],[Fe (kg)]]/T_Info[[#This Row],[Superficie m2]],)</f>
        <v>29.714402111502135</v>
      </c>
      <c r="R15" s="22">
        <f>IFERROR(T_Info[[#This Row],[HA (m3)]]/T_Info[[#This Row],[Superficie m2]],)</f>
        <v>0</v>
      </c>
      <c r="S15" s="22">
        <f>IFERROR(T_Info[[#This Row],[HA (m3)]]/T_Info[[#This Row],[MLD (m2)]],)</f>
        <v>0</v>
      </c>
      <c r="T15" s="50">
        <f>IFERROR(T_Info[[#This Row],[MLD (m2)]]/T_Info[[#This Row],[Superficie m2]],)</f>
        <v>0</v>
      </c>
      <c r="U15" s="49">
        <f>IFERROR(SUMIFS(T_Fe[Fund kg],T_Fe[Codigo],T_Info[[#This Row],[Codigo]])/SUMIFS(T_HA[Fund m3],T_HA[Codigo],T_Info[[#This Row],[Codigo]]),)</f>
        <v>0</v>
      </c>
      <c r="V15" s="22">
        <f>IFERROR(SUMIFS(T_Fe[Grua kg],T_Fe[Codigo],T_Info[[#This Row],[Codigo]])/SUMIFS(T_HA[Grua m3],T_HA[Codigo],T_Info[[#This Row],[Codigo]]),)</f>
        <v>0</v>
      </c>
      <c r="W15" s="22">
        <f>IFERROR(SUMIFS(T_Fe[Muros kg],T_Fe[Codigo],T_Info[[#This Row],[Codigo]])/SUMIFS(T_HA[Muros Int m3],T_HA[Codigo],T_Info[[#This Row],[Codigo]]),)</f>
        <v>0</v>
      </c>
      <c r="X15" s="22">
        <f>IFERROR(SUMIFS(T_Fe[Perimetrales kg],T_Fe[Codigo],T_Info[[#This Row],[Codigo]])/SUMIFS(T_HA[Perimetrales m3],T_HA[Codigo],T_Info[[#This Row],[Codigo]]),)</f>
        <v>0</v>
      </c>
      <c r="Y15" s="22">
        <f>IFERROR(SUMIFS(T_Fe[Vigas kg],T_Fe[Codigo],T_Info[[#This Row],[Codigo]])/SUMIFS(T_HA[Vigas m3],T_HA[Codigo],T_Info[[#This Row],[Codigo]]),)</f>
        <v>0</v>
      </c>
      <c r="Z15" s="50">
        <f>IFERROR(SUMIFS(T_Fe[Losas kg],T_Fe[Codigo],T_Info[[#This Row],[Codigo]])/SUMIFS(T_HA[Losas m3],T_HA[Codigo],T_Info[[#This Row],[Codigo]]),)</f>
        <v>0</v>
      </c>
      <c r="AA15" s="49">
        <f>SUMIFS(T_Fe[Fund kg/m2],T_Fe[Codigo],T_Info[[#This Row],[Codigo]])</f>
        <v>0.39109409149842561</v>
      </c>
      <c r="AB15" s="22">
        <f>SUMIFS(T_Fe[Muros kg/m2],T_Fe[Codigo],T_Info[[#This Row],[Codigo]])</f>
        <v>12.789833302463421</v>
      </c>
      <c r="AC15" s="22">
        <f>SUMIFS(T_Fe[Perimetrales kg/m2],T_Fe[Codigo],T_Info[[#This Row],[Codigo]])</f>
        <v>0</v>
      </c>
      <c r="AD15" s="22">
        <f>SUMIFS(T_Fe[Vigas kg/m2],T_Fe[Codigo],T_Info[[#This Row],[Codigo]])</f>
        <v>4.1334747175402855</v>
      </c>
      <c r="AE15" s="50">
        <f>SUMIFS(T_Fe[Losas kg/m2],T_Fe[Codigo],T_Info[[#This Row],[Codigo]])</f>
        <v>12.4</v>
      </c>
      <c r="AF15" s="49">
        <f>IFERROR(SUMIFS(T_HA[Fund m3/m2],T_HA[Codigo],T_Info[[#This Row],[Codigo]]),)</f>
        <v>0</v>
      </c>
      <c r="AG15" s="22">
        <f>IFERROR(SUMIFS(T_HA[Muros Int m3/m2],T_HA[Codigo],T_Info[[#This Row],[Codigo]]),)</f>
        <v>0</v>
      </c>
      <c r="AH15" s="22">
        <f>IFERROR(SUMIFS(T_HA[Perimetrales m3/m2],T_HA[Codigo],T_Info[[#This Row],[Codigo]]),)</f>
        <v>0</v>
      </c>
      <c r="AI15" s="22">
        <f>IFERROR(SUMIFS(T_HA[Vigas m3/m2],T_HA[Codigo],T_Info[[#This Row],[Codigo]]),)</f>
        <v>0</v>
      </c>
      <c r="AJ15" s="50">
        <f>IFERROR(SUMIFS(T_HA[Losas m3/m2],T_HA[Codigo],T_Info[[#This Row],[Codigo]]),)</f>
        <v>0</v>
      </c>
      <c r="AK15" s="22">
        <f>IFERROR(SUMIFS(T_HA[Fund m3],T_HA[Codigo],T_Info[[#This Row],[Codigo]])/SUMIFS(T_MLD[Fund Lat m2],T_MLD[Codigo],T_Info[[#This Row],[Codigo]]),)</f>
        <v>0</v>
      </c>
      <c r="AL15" s="22">
        <f>IFERROR(SUMIFS(T_HA[Muros m3],T_HA[Codigo],T_Info[[#This Row],[Codigo]])/SUMIFS(T_MLD[Muro m2],T_MLD[Codigo],T_Info[[#This Row],[Codigo]]),)</f>
        <v>0</v>
      </c>
      <c r="AM15" s="22">
        <f>IFERROR(SUMIFS(T_HA[Vigas m3],T_HA[Codigo],T_Info[[#This Row],[Codigo]])/(SUMIFS(T_MLD[Viga Lat m2],T_MLD[Codigo],T_Info[[#This Row],[Codigo]])+SUMIFS(T_MLD[Viga Fondo m2],T_MLD[Codigo],T_Info[[#This Row],[Codigo]])),)</f>
        <v>0</v>
      </c>
      <c r="AN15" s="22">
        <f>IFERROR(SUMIFS(T_HA[Losas m3],T_HA[Codigo],T_Info[[#This Row],[Codigo]])/(SUMIFS(T_MLD[Losa Fondo m2],T_MLD[Codigo],T_Info[[#This Row],[Codigo]])+SUMIFS(T_MLD[Rebalse m2],T_MLD[Codigo],T_Info[[#This Row],[Codigo]])),)</f>
        <v>0</v>
      </c>
      <c r="AO15" s="49">
        <f>IFERROR(SUMIFS(T_MLD[Fund Lat m2],T_MLD[Codigo],T_Info[[#This Row],[Codigo]])/T_Info[[#This Row],[Superficie m2]],)</f>
        <v>0</v>
      </c>
      <c r="AP15" s="22">
        <f>IFERROR(SUMIFS(T_MLD[Muro m2],T_MLD[Codigo],T_Info[[#This Row],[Codigo]])/T_Info[[#This Row],[Superficie m2]],)</f>
        <v>0</v>
      </c>
      <c r="AQ15" s="22">
        <f>IFERROR((SUMIFS(T_MLD[Viga Lat m2],T_MLD[Codigo],T_Info[[#This Row],[Codigo]])+SUMIFS(T_MLD[Viga Fondo m2],T_MLD[Codigo],T_Info[[#This Row],[Codigo]]))/T_Info[[#This Row],[Superficie m2]],)</f>
        <v>0</v>
      </c>
      <c r="AR15" s="50">
        <f>IFERROR((SUMIFS(T_MLD[Losa Fondo m2],T_MLD[Codigo],T_Info[[#This Row],[Codigo]])+SUMIFS(T_MLD[Rebalse m2],T_MLD[Codigo],T_Info[[#This Row],[Codigo]]))/T_Info[[#This Row],[Superficie m2]],)</f>
        <v>0</v>
      </c>
    </row>
    <row r="16" spans="1:44" x14ac:dyDescent="0.25">
      <c r="A16" s="52">
        <v>15</v>
      </c>
      <c r="B16" s="34">
        <v>14134</v>
      </c>
      <c r="C16" s="46" t="s">
        <v>95</v>
      </c>
      <c r="D16" s="6" t="s">
        <v>255</v>
      </c>
      <c r="E16" s="45" t="s">
        <v>91</v>
      </c>
      <c r="F16" s="34">
        <v>3</v>
      </c>
      <c r="G16" s="34">
        <v>17</v>
      </c>
      <c r="H16" s="34">
        <v>2</v>
      </c>
      <c r="I16" s="33">
        <v>16835</v>
      </c>
      <c r="J16" s="30"/>
      <c r="K16" s="53"/>
      <c r="L16" s="46"/>
      <c r="M16" s="47">
        <f>SUMIFS(T_Fe[Total kg],T_Fe[Codigo],T_Info[[#This Row],[Codigo]])</f>
        <v>764227.5458869678</v>
      </c>
      <c r="N16" s="33">
        <f>SUMIFS(T_HA[Total m3],T_HA[Codigo],T_Info[[#This Row],[Codigo]])</f>
        <v>0</v>
      </c>
      <c r="O16" s="48">
        <f>SUMIFS(T_MLD[Total m2],T_MLD[Codigo],T_Info[[#This Row],[Codigo]])</f>
        <v>0</v>
      </c>
      <c r="P16" s="49">
        <f>IFERROR(T_Info[[#This Row],[Fe (kg)]]/T_Info[[#This Row],[HA (m3)]],)</f>
        <v>0</v>
      </c>
      <c r="Q16" s="22">
        <f>IFERROR(T_Info[[#This Row],[Fe (kg)]]/T_Info[[#This Row],[Superficie m2]],)</f>
        <v>45.39516162084751</v>
      </c>
      <c r="R16" s="22">
        <f>IFERROR(T_Info[[#This Row],[HA (m3)]]/T_Info[[#This Row],[Superficie m2]],)</f>
        <v>0</v>
      </c>
      <c r="S16" s="22">
        <f>IFERROR(T_Info[[#This Row],[HA (m3)]]/T_Info[[#This Row],[MLD (m2)]],)</f>
        <v>0</v>
      </c>
      <c r="T16" s="50">
        <f>IFERROR(T_Info[[#This Row],[MLD (m2)]]/T_Info[[#This Row],[Superficie m2]],)</f>
        <v>0</v>
      </c>
      <c r="U16" s="49">
        <f>IFERROR(SUMIFS(T_Fe[Fund kg],T_Fe[Codigo],T_Info[[#This Row],[Codigo]])/SUMIFS(T_HA[Fund m3],T_HA[Codigo],T_Info[[#This Row],[Codigo]]),)</f>
        <v>0</v>
      </c>
      <c r="V16" s="22">
        <f>IFERROR(SUMIFS(T_Fe[Grua kg],T_Fe[Codigo],T_Info[[#This Row],[Codigo]])/SUMIFS(T_HA[Grua m3],T_HA[Codigo],T_Info[[#This Row],[Codigo]]),)</f>
        <v>0</v>
      </c>
      <c r="W16" s="22">
        <f>IFERROR(SUMIFS(T_Fe[Muros kg],T_Fe[Codigo],T_Info[[#This Row],[Codigo]])/SUMIFS(T_HA[Muros Int m3],T_HA[Codigo],T_Info[[#This Row],[Codigo]]),)</f>
        <v>0</v>
      </c>
      <c r="X16" s="22">
        <f>IFERROR(SUMIFS(T_Fe[Perimetrales kg],T_Fe[Codigo],T_Info[[#This Row],[Codigo]])/SUMIFS(T_HA[Perimetrales m3],T_HA[Codigo],T_Info[[#This Row],[Codigo]]),)</f>
        <v>0</v>
      </c>
      <c r="Y16" s="22">
        <f>IFERROR(SUMIFS(T_Fe[Vigas kg],T_Fe[Codigo],T_Info[[#This Row],[Codigo]])/SUMIFS(T_HA[Vigas m3],T_HA[Codigo],T_Info[[#This Row],[Codigo]]),)</f>
        <v>0</v>
      </c>
      <c r="Z16" s="50">
        <f>IFERROR(SUMIFS(T_Fe[Losas kg],T_Fe[Codigo],T_Info[[#This Row],[Codigo]])/SUMIFS(T_HA[Losas m3],T_HA[Codigo],T_Info[[#This Row],[Codigo]]),)</f>
        <v>0</v>
      </c>
      <c r="AA16" s="49">
        <f>SUMIFS(T_Fe[Fund kg/m2],T_Fe[Codigo],T_Info[[#This Row],[Codigo]])</f>
        <v>7.3074357053801551</v>
      </c>
      <c r="AB16" s="22">
        <f>SUMIFS(T_Fe[Muros kg/m2],T_Fe[Codigo],T_Info[[#This Row],[Codigo]])</f>
        <v>17.580250888158815</v>
      </c>
      <c r="AC16" s="22">
        <f>SUMIFS(T_Fe[Perimetrales kg/m2],T_Fe[Codigo],T_Info[[#This Row],[Codigo]])</f>
        <v>0</v>
      </c>
      <c r="AD16" s="22">
        <f>SUMIFS(T_Fe[Vigas kg/m2],T_Fe[Codigo],T_Info[[#This Row],[Codigo]])</f>
        <v>6.5566803026244127</v>
      </c>
      <c r="AE16" s="50">
        <f>SUMIFS(T_Fe[Losas kg/m2],T_Fe[Codigo],T_Info[[#This Row],[Codigo]])</f>
        <v>13.950794724684132</v>
      </c>
      <c r="AF16" s="49">
        <f>IFERROR(SUMIFS(T_HA[Fund m3/m2],T_HA[Codigo],T_Info[[#This Row],[Codigo]]),)</f>
        <v>0</v>
      </c>
      <c r="AG16" s="22">
        <f>IFERROR(SUMIFS(T_HA[Muros Int m3/m2],T_HA[Codigo],T_Info[[#This Row],[Codigo]]),)</f>
        <v>0</v>
      </c>
      <c r="AH16" s="22">
        <f>IFERROR(SUMIFS(T_HA[Perimetrales m3/m2],T_HA[Codigo],T_Info[[#This Row],[Codigo]]),)</f>
        <v>0</v>
      </c>
      <c r="AI16" s="22">
        <f>IFERROR(SUMIFS(T_HA[Vigas m3/m2],T_HA[Codigo],T_Info[[#This Row],[Codigo]]),)</f>
        <v>0</v>
      </c>
      <c r="AJ16" s="50">
        <f>IFERROR(SUMIFS(T_HA[Losas m3/m2],T_HA[Codigo],T_Info[[#This Row],[Codigo]]),)</f>
        <v>0</v>
      </c>
      <c r="AK16" s="22">
        <f>IFERROR(SUMIFS(T_HA[Fund m3],T_HA[Codigo],T_Info[[#This Row],[Codigo]])/SUMIFS(T_MLD[Fund Lat m2],T_MLD[Codigo],T_Info[[#This Row],[Codigo]]),)</f>
        <v>0</v>
      </c>
      <c r="AL16" s="22">
        <f>IFERROR(SUMIFS(T_HA[Muros m3],T_HA[Codigo],T_Info[[#This Row],[Codigo]])/SUMIFS(T_MLD[Muro m2],T_MLD[Codigo],T_Info[[#This Row],[Codigo]]),)</f>
        <v>0</v>
      </c>
      <c r="AM16" s="22">
        <f>IFERROR(SUMIFS(T_HA[Vigas m3],T_HA[Codigo],T_Info[[#This Row],[Codigo]])/(SUMIFS(T_MLD[Viga Lat m2],T_MLD[Codigo],T_Info[[#This Row],[Codigo]])+SUMIFS(T_MLD[Viga Fondo m2],T_MLD[Codigo],T_Info[[#This Row],[Codigo]])),)</f>
        <v>0</v>
      </c>
      <c r="AN16" s="22">
        <f>IFERROR(SUMIFS(T_HA[Losas m3],T_HA[Codigo],T_Info[[#This Row],[Codigo]])/(SUMIFS(T_MLD[Losa Fondo m2],T_MLD[Codigo],T_Info[[#This Row],[Codigo]])+SUMIFS(T_MLD[Rebalse m2],T_MLD[Codigo],T_Info[[#This Row],[Codigo]])),)</f>
        <v>0</v>
      </c>
      <c r="AO16" s="49">
        <f>IFERROR(SUMIFS(T_MLD[Fund Lat m2],T_MLD[Codigo],T_Info[[#This Row],[Codigo]])/T_Info[[#This Row],[Superficie m2]],)</f>
        <v>0</v>
      </c>
      <c r="AP16" s="22">
        <f>IFERROR(SUMIFS(T_MLD[Muro m2],T_MLD[Codigo],T_Info[[#This Row],[Codigo]])/T_Info[[#This Row],[Superficie m2]],)</f>
        <v>0</v>
      </c>
      <c r="AQ16" s="22">
        <f>IFERROR((SUMIFS(T_MLD[Viga Lat m2],T_MLD[Codigo],T_Info[[#This Row],[Codigo]])+SUMIFS(T_MLD[Viga Fondo m2],T_MLD[Codigo],T_Info[[#This Row],[Codigo]]))/T_Info[[#This Row],[Superficie m2]],)</f>
        <v>0</v>
      </c>
      <c r="AR16" s="50">
        <f>IFERROR((SUMIFS(T_MLD[Losa Fondo m2],T_MLD[Codigo],T_Info[[#This Row],[Codigo]])+SUMIFS(T_MLD[Rebalse m2],T_MLD[Codigo],T_Info[[#This Row],[Codigo]]))/T_Info[[#This Row],[Superficie m2]],)</f>
        <v>0</v>
      </c>
    </row>
    <row r="17" spans="1:44" x14ac:dyDescent="0.25">
      <c r="A17" s="52">
        <v>16</v>
      </c>
      <c r="B17" s="34">
        <v>15001</v>
      </c>
      <c r="C17" s="46" t="s">
        <v>96</v>
      </c>
      <c r="D17" s="6" t="s">
        <v>257</v>
      </c>
      <c r="E17" s="45" t="s">
        <v>80</v>
      </c>
      <c r="F17" s="34">
        <v>2</v>
      </c>
      <c r="G17" s="34">
        <v>11</v>
      </c>
      <c r="H17" s="34">
        <v>2</v>
      </c>
      <c r="I17" s="33">
        <v>10981</v>
      </c>
      <c r="J17" s="30"/>
      <c r="K17" s="53"/>
      <c r="L17" s="46"/>
      <c r="M17" s="47">
        <f>SUMIFS(T_Fe[Total kg],T_Fe[Codigo],T_Info[[#This Row],[Codigo]])</f>
        <v>357285.42</v>
      </c>
      <c r="N17" s="33">
        <f>SUMIFS(T_HA[Total m3],T_HA[Codigo],T_Info[[#This Row],[Codigo]])</f>
        <v>0</v>
      </c>
      <c r="O17" s="48">
        <f>SUMIFS(T_MLD[Total m2],T_MLD[Codigo],T_Info[[#This Row],[Codigo]])</f>
        <v>0</v>
      </c>
      <c r="P17" s="49">
        <f>IFERROR(T_Info[[#This Row],[Fe (kg)]]/T_Info[[#This Row],[HA (m3)]],)</f>
        <v>0</v>
      </c>
      <c r="Q17" s="22">
        <f>IFERROR(T_Info[[#This Row],[Fe (kg)]]/T_Info[[#This Row],[Superficie m2]],)</f>
        <v>32.536692468809761</v>
      </c>
      <c r="R17" s="22">
        <f>IFERROR(T_Info[[#This Row],[HA (m3)]]/T_Info[[#This Row],[Superficie m2]],)</f>
        <v>0</v>
      </c>
      <c r="S17" s="22">
        <f>IFERROR(T_Info[[#This Row],[HA (m3)]]/T_Info[[#This Row],[MLD (m2)]],)</f>
        <v>0</v>
      </c>
      <c r="T17" s="50">
        <f>IFERROR(T_Info[[#This Row],[MLD (m2)]]/T_Info[[#This Row],[Superficie m2]],)</f>
        <v>0</v>
      </c>
      <c r="U17" s="49">
        <f>IFERROR(SUMIFS(T_Fe[Fund kg],T_Fe[Codigo],T_Info[[#This Row],[Codigo]])/SUMIFS(T_HA[Fund m3],T_HA[Codigo],T_Info[[#This Row],[Codigo]]),)</f>
        <v>0</v>
      </c>
      <c r="V17" s="22">
        <f>IFERROR(SUMIFS(T_Fe[Grua kg],T_Fe[Codigo],T_Info[[#This Row],[Codigo]])/SUMIFS(T_HA[Grua m3],T_HA[Codigo],T_Info[[#This Row],[Codigo]]),)</f>
        <v>0</v>
      </c>
      <c r="W17" s="22">
        <f>IFERROR(SUMIFS(T_Fe[Muros kg],T_Fe[Codigo],T_Info[[#This Row],[Codigo]])/SUMIFS(T_HA[Muros Int m3],T_HA[Codigo],T_Info[[#This Row],[Codigo]]),)</f>
        <v>0</v>
      </c>
      <c r="X17" s="22">
        <f>IFERROR(SUMIFS(T_Fe[Perimetrales kg],T_Fe[Codigo],T_Info[[#This Row],[Codigo]])/SUMIFS(T_HA[Perimetrales m3],T_HA[Codigo],T_Info[[#This Row],[Codigo]]),)</f>
        <v>0</v>
      </c>
      <c r="Y17" s="22">
        <f>IFERROR(SUMIFS(T_Fe[Vigas kg],T_Fe[Codigo],T_Info[[#This Row],[Codigo]])/SUMIFS(T_HA[Vigas m3],T_HA[Codigo],T_Info[[#This Row],[Codigo]]),)</f>
        <v>0</v>
      </c>
      <c r="Z17" s="50">
        <f>IFERROR(SUMIFS(T_Fe[Losas kg],T_Fe[Codigo],T_Info[[#This Row],[Codigo]])/SUMIFS(T_HA[Losas m3],T_HA[Codigo],T_Info[[#This Row],[Codigo]]),)</f>
        <v>0</v>
      </c>
      <c r="AA17" s="49">
        <f>SUMIFS(T_Fe[Fund kg/m2],T_Fe[Codigo],T_Info[[#This Row],[Codigo]])</f>
        <v>0.51669246880976238</v>
      </c>
      <c r="AB17" s="22">
        <f>SUMIFS(T_Fe[Muros kg/m2],T_Fe[Codigo],T_Info[[#This Row],[Codigo]])</f>
        <v>13.04</v>
      </c>
      <c r="AC17" s="22">
        <f>SUMIFS(T_Fe[Perimetrales kg/m2],T_Fe[Codigo],T_Info[[#This Row],[Codigo]])</f>
        <v>0</v>
      </c>
      <c r="AD17" s="22">
        <f>SUMIFS(T_Fe[Vigas kg/m2],T_Fe[Codigo],T_Info[[#This Row],[Codigo]])</f>
        <v>4.51</v>
      </c>
      <c r="AE17" s="50">
        <f>SUMIFS(T_Fe[Losas kg/m2],T_Fe[Codigo],T_Info[[#This Row],[Codigo]])</f>
        <v>14.47</v>
      </c>
      <c r="AF17" s="49">
        <f>IFERROR(SUMIFS(T_HA[Fund m3/m2],T_HA[Codigo],T_Info[[#This Row],[Codigo]]),)</f>
        <v>0</v>
      </c>
      <c r="AG17" s="22">
        <f>IFERROR(SUMIFS(T_HA[Muros Int m3/m2],T_HA[Codigo],T_Info[[#This Row],[Codigo]]),)</f>
        <v>0</v>
      </c>
      <c r="AH17" s="22">
        <f>IFERROR(SUMIFS(T_HA[Perimetrales m3/m2],T_HA[Codigo],T_Info[[#This Row],[Codigo]]),)</f>
        <v>0</v>
      </c>
      <c r="AI17" s="22">
        <f>IFERROR(SUMIFS(T_HA[Vigas m3/m2],T_HA[Codigo],T_Info[[#This Row],[Codigo]]),)</f>
        <v>0</v>
      </c>
      <c r="AJ17" s="50">
        <f>IFERROR(SUMIFS(T_HA[Losas m3/m2],T_HA[Codigo],T_Info[[#This Row],[Codigo]]),)</f>
        <v>0</v>
      </c>
      <c r="AK17" s="22">
        <f>IFERROR(SUMIFS(T_HA[Fund m3],T_HA[Codigo],T_Info[[#This Row],[Codigo]])/SUMIFS(T_MLD[Fund Lat m2],T_MLD[Codigo],T_Info[[#This Row],[Codigo]]),)</f>
        <v>0</v>
      </c>
      <c r="AL17" s="22">
        <f>IFERROR(SUMIFS(T_HA[Muros m3],T_HA[Codigo],T_Info[[#This Row],[Codigo]])/SUMIFS(T_MLD[Muro m2],T_MLD[Codigo],T_Info[[#This Row],[Codigo]]),)</f>
        <v>0</v>
      </c>
      <c r="AM17" s="22">
        <f>IFERROR(SUMIFS(T_HA[Vigas m3],T_HA[Codigo],T_Info[[#This Row],[Codigo]])/(SUMIFS(T_MLD[Viga Lat m2],T_MLD[Codigo],T_Info[[#This Row],[Codigo]])+SUMIFS(T_MLD[Viga Fondo m2],T_MLD[Codigo],T_Info[[#This Row],[Codigo]])),)</f>
        <v>0</v>
      </c>
      <c r="AN17" s="22">
        <f>IFERROR(SUMIFS(T_HA[Losas m3],T_HA[Codigo],T_Info[[#This Row],[Codigo]])/(SUMIFS(T_MLD[Losa Fondo m2],T_MLD[Codigo],T_Info[[#This Row],[Codigo]])+SUMIFS(T_MLD[Rebalse m2],T_MLD[Codigo],T_Info[[#This Row],[Codigo]])),)</f>
        <v>0</v>
      </c>
      <c r="AO17" s="49">
        <f>IFERROR(SUMIFS(T_MLD[Fund Lat m2],T_MLD[Codigo],T_Info[[#This Row],[Codigo]])/T_Info[[#This Row],[Superficie m2]],)</f>
        <v>0</v>
      </c>
      <c r="AP17" s="22">
        <f>IFERROR(SUMIFS(T_MLD[Muro m2],T_MLD[Codigo],T_Info[[#This Row],[Codigo]])/T_Info[[#This Row],[Superficie m2]],)</f>
        <v>0</v>
      </c>
      <c r="AQ17" s="22">
        <f>IFERROR((SUMIFS(T_MLD[Viga Lat m2],T_MLD[Codigo],T_Info[[#This Row],[Codigo]])+SUMIFS(T_MLD[Viga Fondo m2],T_MLD[Codigo],T_Info[[#This Row],[Codigo]]))/T_Info[[#This Row],[Superficie m2]],)</f>
        <v>0</v>
      </c>
      <c r="AR17" s="50">
        <f>IFERROR((SUMIFS(T_MLD[Losa Fondo m2],T_MLD[Codigo],T_Info[[#This Row],[Codigo]])+SUMIFS(T_MLD[Rebalse m2],T_MLD[Codigo],T_Info[[#This Row],[Codigo]]))/T_Info[[#This Row],[Superficie m2]],)</f>
        <v>0</v>
      </c>
    </row>
    <row r="18" spans="1:44" x14ac:dyDescent="0.25">
      <c r="A18" s="52">
        <v>17</v>
      </c>
      <c r="B18" s="34">
        <v>15007</v>
      </c>
      <c r="C18" s="46" t="s">
        <v>97</v>
      </c>
      <c r="D18" s="6" t="s">
        <v>259</v>
      </c>
      <c r="E18" s="45" t="s">
        <v>80</v>
      </c>
      <c r="F18" s="34">
        <v>2</v>
      </c>
      <c r="G18" s="34">
        <v>7</v>
      </c>
      <c r="H18" s="34">
        <v>2</v>
      </c>
      <c r="I18" s="33">
        <v>12355</v>
      </c>
      <c r="J18" s="30"/>
      <c r="K18" s="53"/>
      <c r="L18" s="46"/>
      <c r="M18" s="47">
        <f>SUMIFS(T_Fe[Total kg],T_Fe[Codigo],T_Info[[#This Row],[Codigo]])</f>
        <v>372828.8334</v>
      </c>
      <c r="N18" s="33">
        <f>SUMIFS(T_HA[Total m3],T_HA[Codigo],T_Info[[#This Row],[Codigo]])</f>
        <v>0</v>
      </c>
      <c r="O18" s="48">
        <f>SUMIFS(T_MLD[Total m2],T_MLD[Codigo],T_Info[[#This Row],[Codigo]])</f>
        <v>0</v>
      </c>
      <c r="P18" s="49">
        <f>IFERROR(T_Info[[#This Row],[Fe (kg)]]/T_Info[[#This Row],[HA (m3)]],)</f>
        <v>0</v>
      </c>
      <c r="Q18" s="22">
        <f>IFERROR(T_Info[[#This Row],[Fe (kg)]]/T_Info[[#This Row],[Superficie m2]],)</f>
        <v>30.176352359368678</v>
      </c>
      <c r="R18" s="22">
        <f>IFERROR(T_Info[[#This Row],[HA (m3)]]/T_Info[[#This Row],[Superficie m2]],)</f>
        <v>0</v>
      </c>
      <c r="S18" s="22">
        <f>IFERROR(T_Info[[#This Row],[HA (m3)]]/T_Info[[#This Row],[MLD (m2)]],)</f>
        <v>0</v>
      </c>
      <c r="T18" s="50">
        <f>IFERROR(T_Info[[#This Row],[MLD (m2)]]/T_Info[[#This Row],[Superficie m2]],)</f>
        <v>0</v>
      </c>
      <c r="U18" s="49">
        <f>IFERROR(SUMIFS(T_Fe[Fund kg],T_Fe[Codigo],T_Info[[#This Row],[Codigo]])/SUMIFS(T_HA[Fund m3],T_HA[Codigo],T_Info[[#This Row],[Codigo]]),)</f>
        <v>0</v>
      </c>
      <c r="V18" s="22">
        <f>IFERROR(SUMIFS(T_Fe[Grua kg],T_Fe[Codigo],T_Info[[#This Row],[Codigo]])/SUMIFS(T_HA[Grua m3],T_HA[Codigo],T_Info[[#This Row],[Codigo]]),)</f>
        <v>0</v>
      </c>
      <c r="W18" s="22">
        <f>IFERROR(SUMIFS(T_Fe[Muros kg],T_Fe[Codigo],T_Info[[#This Row],[Codigo]])/SUMIFS(T_HA[Muros Int m3],T_HA[Codigo],T_Info[[#This Row],[Codigo]]),)</f>
        <v>0</v>
      </c>
      <c r="X18" s="22">
        <f>IFERROR(SUMIFS(T_Fe[Perimetrales kg],T_Fe[Codigo],T_Info[[#This Row],[Codigo]])/SUMIFS(T_HA[Perimetrales m3],T_HA[Codigo],T_Info[[#This Row],[Codigo]]),)</f>
        <v>0</v>
      </c>
      <c r="Y18" s="22">
        <f>IFERROR(SUMIFS(T_Fe[Vigas kg],T_Fe[Codigo],T_Info[[#This Row],[Codigo]])/SUMIFS(T_HA[Vigas m3],T_HA[Codigo],T_Info[[#This Row],[Codigo]]),)</f>
        <v>0</v>
      </c>
      <c r="Z18" s="50">
        <f>IFERROR(SUMIFS(T_Fe[Losas kg],T_Fe[Codigo],T_Info[[#This Row],[Codigo]])/SUMIFS(T_HA[Losas m3],T_HA[Codigo],T_Info[[#This Row],[Codigo]]),)</f>
        <v>0</v>
      </c>
      <c r="AA18" s="49">
        <f>SUMIFS(T_Fe[Fund kg/m2],T_Fe[Codigo],T_Info[[#This Row],[Codigo]])</f>
        <v>0.40420048563334676</v>
      </c>
      <c r="AB18" s="22">
        <f>SUMIFS(T_Fe[Muros kg/m2],T_Fe[Codigo],T_Info[[#This Row],[Codigo]])</f>
        <v>13.170788344799679</v>
      </c>
      <c r="AC18" s="22">
        <f>SUMIFS(T_Fe[Perimetrales kg/m2],T_Fe[Codigo],T_Info[[#This Row],[Codigo]])</f>
        <v>0</v>
      </c>
      <c r="AD18" s="22">
        <f>SUMIFS(T_Fe[Vigas kg/m2],T_Fe[Codigo],T_Info[[#This Row],[Codigo]])</f>
        <v>3.3756560097126664</v>
      </c>
      <c r="AE18" s="50">
        <f>SUMIFS(T_Fe[Losas kg/m2],T_Fe[Codigo],T_Info[[#This Row],[Codigo]])</f>
        <v>13.225707519222988</v>
      </c>
      <c r="AF18" s="49">
        <f>IFERROR(SUMIFS(T_HA[Fund m3/m2],T_HA[Codigo],T_Info[[#This Row],[Codigo]]),)</f>
        <v>0</v>
      </c>
      <c r="AG18" s="22">
        <f>IFERROR(SUMIFS(T_HA[Muros Int m3/m2],T_HA[Codigo],T_Info[[#This Row],[Codigo]]),)</f>
        <v>0</v>
      </c>
      <c r="AH18" s="22">
        <f>IFERROR(SUMIFS(T_HA[Perimetrales m3/m2],T_HA[Codigo],T_Info[[#This Row],[Codigo]]),)</f>
        <v>0</v>
      </c>
      <c r="AI18" s="22">
        <f>IFERROR(SUMIFS(T_HA[Vigas m3/m2],T_HA[Codigo],T_Info[[#This Row],[Codigo]]),)</f>
        <v>0</v>
      </c>
      <c r="AJ18" s="50">
        <f>IFERROR(SUMIFS(T_HA[Losas m3/m2],T_HA[Codigo],T_Info[[#This Row],[Codigo]]),)</f>
        <v>0</v>
      </c>
      <c r="AK18" s="22">
        <f>IFERROR(SUMIFS(T_HA[Fund m3],T_HA[Codigo],T_Info[[#This Row],[Codigo]])/SUMIFS(T_MLD[Fund Lat m2],T_MLD[Codigo],T_Info[[#This Row],[Codigo]]),)</f>
        <v>0</v>
      </c>
      <c r="AL18" s="22">
        <f>IFERROR(SUMIFS(T_HA[Muros m3],T_HA[Codigo],T_Info[[#This Row],[Codigo]])/SUMIFS(T_MLD[Muro m2],T_MLD[Codigo],T_Info[[#This Row],[Codigo]]),)</f>
        <v>0</v>
      </c>
      <c r="AM18" s="22">
        <f>IFERROR(SUMIFS(T_HA[Vigas m3],T_HA[Codigo],T_Info[[#This Row],[Codigo]])/(SUMIFS(T_MLD[Viga Lat m2],T_MLD[Codigo],T_Info[[#This Row],[Codigo]])+SUMIFS(T_MLD[Viga Fondo m2],T_MLD[Codigo],T_Info[[#This Row],[Codigo]])),)</f>
        <v>0</v>
      </c>
      <c r="AN18" s="22">
        <f>IFERROR(SUMIFS(T_HA[Losas m3],T_HA[Codigo],T_Info[[#This Row],[Codigo]])/(SUMIFS(T_MLD[Losa Fondo m2],T_MLD[Codigo],T_Info[[#This Row],[Codigo]])+SUMIFS(T_MLD[Rebalse m2],T_MLD[Codigo],T_Info[[#This Row],[Codigo]])),)</f>
        <v>0</v>
      </c>
      <c r="AO18" s="49">
        <f>IFERROR(SUMIFS(T_MLD[Fund Lat m2],T_MLD[Codigo],T_Info[[#This Row],[Codigo]])/T_Info[[#This Row],[Superficie m2]],)</f>
        <v>0</v>
      </c>
      <c r="AP18" s="22">
        <f>IFERROR(SUMIFS(T_MLD[Muro m2],T_MLD[Codigo],T_Info[[#This Row],[Codigo]])/T_Info[[#This Row],[Superficie m2]],)</f>
        <v>0</v>
      </c>
      <c r="AQ18" s="22">
        <f>IFERROR((SUMIFS(T_MLD[Viga Lat m2],T_MLD[Codigo],T_Info[[#This Row],[Codigo]])+SUMIFS(T_MLD[Viga Fondo m2],T_MLD[Codigo],T_Info[[#This Row],[Codigo]]))/T_Info[[#This Row],[Superficie m2]],)</f>
        <v>0</v>
      </c>
      <c r="AR18" s="50">
        <f>IFERROR((SUMIFS(T_MLD[Losa Fondo m2],T_MLD[Codigo],T_Info[[#This Row],[Codigo]])+SUMIFS(T_MLD[Rebalse m2],T_MLD[Codigo],T_Info[[#This Row],[Codigo]]))/T_Info[[#This Row],[Superficie m2]],)</f>
        <v>0</v>
      </c>
    </row>
    <row r="19" spans="1:44" x14ac:dyDescent="0.25">
      <c r="A19" s="52">
        <v>18</v>
      </c>
      <c r="B19" s="34">
        <v>15044</v>
      </c>
      <c r="C19" s="46" t="s">
        <v>98</v>
      </c>
      <c r="D19" s="6" t="s">
        <v>255</v>
      </c>
      <c r="E19" s="45" t="s">
        <v>80</v>
      </c>
      <c r="F19" s="34">
        <v>2</v>
      </c>
      <c r="G19" s="34">
        <v>5</v>
      </c>
      <c r="H19" s="34">
        <v>2</v>
      </c>
      <c r="I19" s="33">
        <v>11392</v>
      </c>
      <c r="J19" s="30"/>
      <c r="K19" s="53"/>
      <c r="L19" s="46"/>
      <c r="M19" s="47">
        <f>SUMIFS(T_Fe[Total kg],T_Fe[Codigo],T_Info[[#This Row],[Codigo]])</f>
        <v>368462.52</v>
      </c>
      <c r="N19" s="33">
        <f>SUMIFS(T_HA[Total m3],T_HA[Codigo],T_Info[[#This Row],[Codigo]])</f>
        <v>0</v>
      </c>
      <c r="O19" s="48">
        <f>SUMIFS(T_MLD[Total m2],T_MLD[Codigo],T_Info[[#This Row],[Codigo]])</f>
        <v>0</v>
      </c>
      <c r="P19" s="49">
        <f>IFERROR(T_Info[[#This Row],[Fe (kg)]]/T_Info[[#This Row],[HA (m3)]],)</f>
        <v>0</v>
      </c>
      <c r="Q19" s="22">
        <f>IFERROR(T_Info[[#This Row],[Fe (kg)]]/T_Info[[#This Row],[Superficie m2]],)</f>
        <v>32.343971207865167</v>
      </c>
      <c r="R19" s="22">
        <f>IFERROR(T_Info[[#This Row],[HA (m3)]]/T_Info[[#This Row],[Superficie m2]],)</f>
        <v>0</v>
      </c>
      <c r="S19" s="22">
        <f>IFERROR(T_Info[[#This Row],[HA (m3)]]/T_Info[[#This Row],[MLD (m2)]],)</f>
        <v>0</v>
      </c>
      <c r="T19" s="50">
        <f>IFERROR(T_Info[[#This Row],[MLD (m2)]]/T_Info[[#This Row],[Superficie m2]],)</f>
        <v>0</v>
      </c>
      <c r="U19" s="49">
        <f>IFERROR(SUMIFS(T_Fe[Fund kg],T_Fe[Codigo],T_Info[[#This Row],[Codigo]])/SUMIFS(T_HA[Fund m3],T_HA[Codigo],T_Info[[#This Row],[Codigo]]),)</f>
        <v>0</v>
      </c>
      <c r="V19" s="22">
        <f>IFERROR(SUMIFS(T_Fe[Grua kg],T_Fe[Codigo],T_Info[[#This Row],[Codigo]])/SUMIFS(T_HA[Grua m3],T_HA[Codigo],T_Info[[#This Row],[Codigo]]),)</f>
        <v>0</v>
      </c>
      <c r="W19" s="22">
        <f>IFERROR(SUMIFS(T_Fe[Muros kg],T_Fe[Codigo],T_Info[[#This Row],[Codigo]])/SUMIFS(T_HA[Muros Int m3],T_HA[Codigo],T_Info[[#This Row],[Codigo]]),)</f>
        <v>0</v>
      </c>
      <c r="X19" s="22">
        <f>IFERROR(SUMIFS(T_Fe[Perimetrales kg],T_Fe[Codigo],T_Info[[#This Row],[Codigo]])/SUMIFS(T_HA[Perimetrales m3],T_HA[Codigo],T_Info[[#This Row],[Codigo]]),)</f>
        <v>0</v>
      </c>
      <c r="Y19" s="22">
        <f>IFERROR(SUMIFS(T_Fe[Vigas kg],T_Fe[Codigo],T_Info[[#This Row],[Codigo]])/SUMIFS(T_HA[Vigas m3],T_HA[Codigo],T_Info[[#This Row],[Codigo]]),)</f>
        <v>0</v>
      </c>
      <c r="Z19" s="50">
        <f>IFERROR(SUMIFS(T_Fe[Losas kg],T_Fe[Codigo],T_Info[[#This Row],[Codigo]])/SUMIFS(T_HA[Losas m3],T_HA[Codigo],T_Info[[#This Row],[Codigo]]),)</f>
        <v>0</v>
      </c>
      <c r="AA19" s="49">
        <f>SUMIFS(T_Fe[Fund kg/m2],T_Fe[Codigo],T_Info[[#This Row],[Codigo]])</f>
        <v>0.49333742977528094</v>
      </c>
      <c r="AB19" s="22">
        <f>SUMIFS(T_Fe[Muros kg/m2],T_Fe[Codigo],T_Info[[#This Row],[Codigo]])</f>
        <v>12.993716643258429</v>
      </c>
      <c r="AC19" s="22">
        <f>SUMIFS(T_Fe[Perimetrales kg/m2],T_Fe[Codigo],T_Info[[#This Row],[Codigo]])</f>
        <v>0</v>
      </c>
      <c r="AD19" s="22">
        <f>SUMIFS(T_Fe[Vigas kg/m2],T_Fe[Codigo],T_Info[[#This Row],[Codigo]])</f>
        <v>3.9035726825842696</v>
      </c>
      <c r="AE19" s="50">
        <f>SUMIFS(T_Fe[Losas kg/m2],T_Fe[Codigo],T_Info[[#This Row],[Codigo]])</f>
        <v>14.95334445224719</v>
      </c>
      <c r="AF19" s="49">
        <f>IFERROR(SUMIFS(T_HA[Fund m3/m2],T_HA[Codigo],T_Info[[#This Row],[Codigo]]),)</f>
        <v>0</v>
      </c>
      <c r="AG19" s="22">
        <f>IFERROR(SUMIFS(T_HA[Muros Int m3/m2],T_HA[Codigo],T_Info[[#This Row],[Codigo]]),)</f>
        <v>0</v>
      </c>
      <c r="AH19" s="22">
        <f>IFERROR(SUMIFS(T_HA[Perimetrales m3/m2],T_HA[Codigo],T_Info[[#This Row],[Codigo]]),)</f>
        <v>0</v>
      </c>
      <c r="AI19" s="22">
        <f>IFERROR(SUMIFS(T_HA[Vigas m3/m2],T_HA[Codigo],T_Info[[#This Row],[Codigo]]),)</f>
        <v>0</v>
      </c>
      <c r="AJ19" s="50">
        <f>IFERROR(SUMIFS(T_HA[Losas m3/m2],T_HA[Codigo],T_Info[[#This Row],[Codigo]]),)</f>
        <v>0</v>
      </c>
      <c r="AK19" s="22">
        <f>IFERROR(SUMIFS(T_HA[Fund m3],T_HA[Codigo],T_Info[[#This Row],[Codigo]])/SUMIFS(T_MLD[Fund Lat m2],T_MLD[Codigo],T_Info[[#This Row],[Codigo]]),)</f>
        <v>0</v>
      </c>
      <c r="AL19" s="22">
        <f>IFERROR(SUMIFS(T_HA[Muros m3],T_HA[Codigo],T_Info[[#This Row],[Codigo]])/SUMIFS(T_MLD[Muro m2],T_MLD[Codigo],T_Info[[#This Row],[Codigo]]),)</f>
        <v>0</v>
      </c>
      <c r="AM19" s="22">
        <f>IFERROR(SUMIFS(T_HA[Vigas m3],T_HA[Codigo],T_Info[[#This Row],[Codigo]])/(SUMIFS(T_MLD[Viga Lat m2],T_MLD[Codigo],T_Info[[#This Row],[Codigo]])+SUMIFS(T_MLD[Viga Fondo m2],T_MLD[Codigo],T_Info[[#This Row],[Codigo]])),)</f>
        <v>0</v>
      </c>
      <c r="AN19" s="22">
        <f>IFERROR(SUMIFS(T_HA[Losas m3],T_HA[Codigo],T_Info[[#This Row],[Codigo]])/(SUMIFS(T_MLD[Losa Fondo m2],T_MLD[Codigo],T_Info[[#This Row],[Codigo]])+SUMIFS(T_MLD[Rebalse m2],T_MLD[Codigo],T_Info[[#This Row],[Codigo]])),)</f>
        <v>0</v>
      </c>
      <c r="AO19" s="49">
        <f>IFERROR(SUMIFS(T_MLD[Fund Lat m2],T_MLD[Codigo],T_Info[[#This Row],[Codigo]])/T_Info[[#This Row],[Superficie m2]],)</f>
        <v>0</v>
      </c>
      <c r="AP19" s="22">
        <f>IFERROR(SUMIFS(T_MLD[Muro m2],T_MLD[Codigo],T_Info[[#This Row],[Codigo]])/T_Info[[#This Row],[Superficie m2]],)</f>
        <v>0</v>
      </c>
      <c r="AQ19" s="22">
        <f>IFERROR((SUMIFS(T_MLD[Viga Lat m2],T_MLD[Codigo],T_Info[[#This Row],[Codigo]])+SUMIFS(T_MLD[Viga Fondo m2],T_MLD[Codigo],T_Info[[#This Row],[Codigo]]))/T_Info[[#This Row],[Superficie m2]],)</f>
        <v>0</v>
      </c>
      <c r="AR19" s="50">
        <f>IFERROR((SUMIFS(T_MLD[Losa Fondo m2],T_MLD[Codigo],T_Info[[#This Row],[Codigo]])+SUMIFS(T_MLD[Rebalse m2],T_MLD[Codigo],T_Info[[#This Row],[Codigo]]))/T_Info[[#This Row],[Superficie m2]],)</f>
        <v>0</v>
      </c>
    </row>
    <row r="20" spans="1:44" x14ac:dyDescent="0.25">
      <c r="A20" s="52">
        <v>19</v>
      </c>
      <c r="B20" s="34">
        <v>15088</v>
      </c>
      <c r="C20" s="46" t="s">
        <v>99</v>
      </c>
      <c r="D20" s="6" t="s">
        <v>255</v>
      </c>
      <c r="E20" s="45" t="s">
        <v>80</v>
      </c>
      <c r="F20" s="34">
        <v>2</v>
      </c>
      <c r="G20" s="34">
        <v>10</v>
      </c>
      <c r="H20" s="34">
        <v>3</v>
      </c>
      <c r="I20" s="33">
        <v>23058</v>
      </c>
      <c r="J20" s="30"/>
      <c r="K20" s="53"/>
      <c r="L20" s="46"/>
      <c r="M20" s="47">
        <f>SUMIFS(T_Fe[Total kg],T_Fe[Codigo],T_Info[[#This Row],[Codigo]])</f>
        <v>758608.2</v>
      </c>
      <c r="N20" s="33">
        <f>SUMIFS(T_HA[Total m3],T_HA[Codigo],T_Info[[#This Row],[Codigo]])</f>
        <v>0</v>
      </c>
      <c r="O20" s="48">
        <f>SUMIFS(T_MLD[Total m2],T_MLD[Codigo],T_Info[[#This Row],[Codigo]])</f>
        <v>0</v>
      </c>
      <c r="P20" s="49">
        <f>IFERROR(T_Info[[#This Row],[Fe (kg)]]/T_Info[[#This Row],[HA (m3)]],)</f>
        <v>0</v>
      </c>
      <c r="Q20" s="22">
        <f>IFERROR(T_Info[[#This Row],[Fe (kg)]]/T_Info[[#This Row],[Superficie m2]],)</f>
        <v>32.9</v>
      </c>
      <c r="R20" s="22">
        <f>IFERROR(T_Info[[#This Row],[HA (m3)]]/T_Info[[#This Row],[Superficie m2]],)</f>
        <v>0</v>
      </c>
      <c r="S20" s="22">
        <f>IFERROR(T_Info[[#This Row],[HA (m3)]]/T_Info[[#This Row],[MLD (m2)]],)</f>
        <v>0</v>
      </c>
      <c r="T20" s="50">
        <f>IFERROR(T_Info[[#This Row],[MLD (m2)]]/T_Info[[#This Row],[Superficie m2]],)</f>
        <v>0</v>
      </c>
      <c r="U20" s="49">
        <f>IFERROR(SUMIFS(T_Fe[Fund kg],T_Fe[Codigo],T_Info[[#This Row],[Codigo]])/SUMIFS(T_HA[Fund m3],T_HA[Codigo],T_Info[[#This Row],[Codigo]]),)</f>
        <v>0</v>
      </c>
      <c r="V20" s="22">
        <f>IFERROR(SUMIFS(T_Fe[Grua kg],T_Fe[Codigo],T_Info[[#This Row],[Codigo]])/SUMIFS(T_HA[Grua m3],T_HA[Codigo],T_Info[[#This Row],[Codigo]]),)</f>
        <v>0</v>
      </c>
      <c r="W20" s="22">
        <f>IFERROR(SUMIFS(T_Fe[Muros kg],T_Fe[Codigo],T_Info[[#This Row],[Codigo]])/SUMIFS(T_HA[Muros Int m3],T_HA[Codigo],T_Info[[#This Row],[Codigo]]),)</f>
        <v>0</v>
      </c>
      <c r="X20" s="22">
        <f>IFERROR(SUMIFS(T_Fe[Perimetrales kg],T_Fe[Codigo],T_Info[[#This Row],[Codigo]])/SUMIFS(T_HA[Perimetrales m3],T_HA[Codigo],T_Info[[#This Row],[Codigo]]),)</f>
        <v>0</v>
      </c>
      <c r="Y20" s="22">
        <f>IFERROR(SUMIFS(T_Fe[Vigas kg],T_Fe[Codigo],T_Info[[#This Row],[Codigo]])/SUMIFS(T_HA[Vigas m3],T_HA[Codigo],T_Info[[#This Row],[Codigo]]),)</f>
        <v>0</v>
      </c>
      <c r="Z20" s="50">
        <f>IFERROR(SUMIFS(T_Fe[Losas kg],T_Fe[Codigo],T_Info[[#This Row],[Codigo]])/SUMIFS(T_HA[Losas m3],T_HA[Codigo],T_Info[[#This Row],[Codigo]]),)</f>
        <v>0</v>
      </c>
      <c r="AA20" s="49">
        <f>SUMIFS(T_Fe[Fund kg/m2],T_Fe[Codigo],T_Info[[#This Row],[Codigo]])</f>
        <v>0.2</v>
      </c>
      <c r="AB20" s="22">
        <f>SUMIFS(T_Fe[Muros kg/m2],T_Fe[Codigo],T_Info[[#This Row],[Codigo]])</f>
        <v>16.3</v>
      </c>
      <c r="AC20" s="22">
        <f>SUMIFS(T_Fe[Perimetrales kg/m2],T_Fe[Codigo],T_Info[[#This Row],[Codigo]])</f>
        <v>0</v>
      </c>
      <c r="AD20" s="22">
        <f>SUMIFS(T_Fe[Vigas kg/m2],T_Fe[Codigo],T_Info[[#This Row],[Codigo]])</f>
        <v>3.8</v>
      </c>
      <c r="AE20" s="50">
        <f>SUMIFS(T_Fe[Losas kg/m2],T_Fe[Codigo],T_Info[[#This Row],[Codigo]])</f>
        <v>12.6</v>
      </c>
      <c r="AF20" s="49">
        <f>IFERROR(SUMIFS(T_HA[Fund m3/m2],T_HA[Codigo],T_Info[[#This Row],[Codigo]]),)</f>
        <v>0</v>
      </c>
      <c r="AG20" s="22">
        <f>IFERROR(SUMIFS(T_HA[Muros Int m3/m2],T_HA[Codigo],T_Info[[#This Row],[Codigo]]),)</f>
        <v>0</v>
      </c>
      <c r="AH20" s="22">
        <f>IFERROR(SUMIFS(T_HA[Perimetrales m3/m2],T_HA[Codigo],T_Info[[#This Row],[Codigo]]),)</f>
        <v>0</v>
      </c>
      <c r="AI20" s="22">
        <f>IFERROR(SUMIFS(T_HA[Vigas m3/m2],T_HA[Codigo],T_Info[[#This Row],[Codigo]]),)</f>
        <v>0</v>
      </c>
      <c r="AJ20" s="50">
        <f>IFERROR(SUMIFS(T_HA[Losas m3/m2],T_HA[Codigo],T_Info[[#This Row],[Codigo]]),)</f>
        <v>0</v>
      </c>
      <c r="AK20" s="22">
        <f>IFERROR(SUMIFS(T_HA[Fund m3],T_HA[Codigo],T_Info[[#This Row],[Codigo]])/SUMIFS(T_MLD[Fund Lat m2],T_MLD[Codigo],T_Info[[#This Row],[Codigo]]),)</f>
        <v>0</v>
      </c>
      <c r="AL20" s="22">
        <f>IFERROR(SUMIFS(T_HA[Muros m3],T_HA[Codigo],T_Info[[#This Row],[Codigo]])/SUMIFS(T_MLD[Muro m2],T_MLD[Codigo],T_Info[[#This Row],[Codigo]]),)</f>
        <v>0</v>
      </c>
      <c r="AM20" s="22">
        <f>IFERROR(SUMIFS(T_HA[Vigas m3],T_HA[Codigo],T_Info[[#This Row],[Codigo]])/(SUMIFS(T_MLD[Viga Lat m2],T_MLD[Codigo],T_Info[[#This Row],[Codigo]])+SUMIFS(T_MLD[Viga Fondo m2],T_MLD[Codigo],T_Info[[#This Row],[Codigo]])),)</f>
        <v>0</v>
      </c>
      <c r="AN20" s="22">
        <f>IFERROR(SUMIFS(T_HA[Losas m3],T_HA[Codigo],T_Info[[#This Row],[Codigo]])/(SUMIFS(T_MLD[Losa Fondo m2],T_MLD[Codigo],T_Info[[#This Row],[Codigo]])+SUMIFS(T_MLD[Rebalse m2],T_MLD[Codigo],T_Info[[#This Row],[Codigo]])),)</f>
        <v>0</v>
      </c>
      <c r="AO20" s="49">
        <f>IFERROR(SUMIFS(T_MLD[Fund Lat m2],T_MLD[Codigo],T_Info[[#This Row],[Codigo]])/T_Info[[#This Row],[Superficie m2]],)</f>
        <v>0</v>
      </c>
      <c r="AP20" s="22">
        <f>IFERROR(SUMIFS(T_MLD[Muro m2],T_MLD[Codigo],T_Info[[#This Row],[Codigo]])/T_Info[[#This Row],[Superficie m2]],)</f>
        <v>0</v>
      </c>
      <c r="AQ20" s="22">
        <f>IFERROR((SUMIFS(T_MLD[Viga Lat m2],T_MLD[Codigo],T_Info[[#This Row],[Codigo]])+SUMIFS(T_MLD[Viga Fondo m2],T_MLD[Codigo],T_Info[[#This Row],[Codigo]]))/T_Info[[#This Row],[Superficie m2]],)</f>
        <v>0</v>
      </c>
      <c r="AR20" s="50">
        <f>IFERROR((SUMIFS(T_MLD[Losa Fondo m2],T_MLD[Codigo],T_Info[[#This Row],[Codigo]])+SUMIFS(T_MLD[Rebalse m2],T_MLD[Codigo],T_Info[[#This Row],[Codigo]]))/T_Info[[#This Row],[Superficie m2]],)</f>
        <v>0</v>
      </c>
    </row>
    <row r="21" spans="1:44" x14ac:dyDescent="0.25">
      <c r="A21" s="52">
        <v>20</v>
      </c>
      <c r="B21" s="34">
        <v>15103</v>
      </c>
      <c r="C21" s="46" t="s">
        <v>100</v>
      </c>
      <c r="D21" s="6" t="s">
        <v>255</v>
      </c>
      <c r="E21" s="45" t="s">
        <v>80</v>
      </c>
      <c r="F21" s="34">
        <v>2</v>
      </c>
      <c r="G21" s="34">
        <v>16</v>
      </c>
      <c r="H21" s="34">
        <v>3</v>
      </c>
      <c r="I21" s="33">
        <v>19333</v>
      </c>
      <c r="J21" s="30"/>
      <c r="K21" s="53"/>
      <c r="L21" s="46"/>
      <c r="M21" s="47">
        <f>SUMIFS(T_Fe[Total kg],T_Fe[Codigo],T_Info[[#This Row],[Codigo]])</f>
        <v>664646.20771188731</v>
      </c>
      <c r="N21" s="33">
        <f>SUMIFS(T_HA[Total m3],T_HA[Codigo],T_Info[[#This Row],[Codigo]])</f>
        <v>0</v>
      </c>
      <c r="O21" s="48">
        <f>SUMIFS(T_MLD[Total m2],T_MLD[Codigo],T_Info[[#This Row],[Codigo]])</f>
        <v>0</v>
      </c>
      <c r="P21" s="49">
        <f>IFERROR(T_Info[[#This Row],[Fe (kg)]]/T_Info[[#This Row],[HA (m3)]],)</f>
        <v>0</v>
      </c>
      <c r="Q21" s="22">
        <f>IFERROR(T_Info[[#This Row],[Fe (kg)]]/T_Info[[#This Row],[Superficie m2]],)</f>
        <v>34.378844861733164</v>
      </c>
      <c r="R21" s="22">
        <f>IFERROR(T_Info[[#This Row],[HA (m3)]]/T_Info[[#This Row],[Superficie m2]],)</f>
        <v>0</v>
      </c>
      <c r="S21" s="22">
        <f>IFERROR(T_Info[[#This Row],[HA (m3)]]/T_Info[[#This Row],[MLD (m2)]],)</f>
        <v>0</v>
      </c>
      <c r="T21" s="50">
        <f>IFERROR(T_Info[[#This Row],[MLD (m2)]]/T_Info[[#This Row],[Superficie m2]],)</f>
        <v>0</v>
      </c>
      <c r="U21" s="49">
        <f>IFERROR(SUMIFS(T_Fe[Fund kg],T_Fe[Codigo],T_Info[[#This Row],[Codigo]])/SUMIFS(T_HA[Fund m3],T_HA[Codigo],T_Info[[#This Row],[Codigo]]),)</f>
        <v>0</v>
      </c>
      <c r="V21" s="22">
        <f>IFERROR(SUMIFS(T_Fe[Grua kg],T_Fe[Codigo],T_Info[[#This Row],[Codigo]])/SUMIFS(T_HA[Grua m3],T_HA[Codigo],T_Info[[#This Row],[Codigo]]),)</f>
        <v>0</v>
      </c>
      <c r="W21" s="22">
        <f>IFERROR(SUMIFS(T_Fe[Muros kg],T_Fe[Codigo],T_Info[[#This Row],[Codigo]])/SUMIFS(T_HA[Muros Int m3],T_HA[Codigo],T_Info[[#This Row],[Codigo]]),)</f>
        <v>0</v>
      </c>
      <c r="X21" s="22">
        <f>IFERROR(SUMIFS(T_Fe[Perimetrales kg],T_Fe[Codigo],T_Info[[#This Row],[Codigo]])/SUMIFS(T_HA[Perimetrales m3],T_HA[Codigo],T_Info[[#This Row],[Codigo]]),)</f>
        <v>0</v>
      </c>
      <c r="Y21" s="22">
        <f>IFERROR(SUMIFS(T_Fe[Vigas kg],T_Fe[Codigo],T_Info[[#This Row],[Codigo]])/SUMIFS(T_HA[Vigas m3],T_HA[Codigo],T_Info[[#This Row],[Codigo]]),)</f>
        <v>0</v>
      </c>
      <c r="Z21" s="50">
        <f>IFERROR(SUMIFS(T_Fe[Losas kg],T_Fe[Codigo],T_Info[[#This Row],[Codigo]])/SUMIFS(T_HA[Losas m3],T_HA[Codigo],T_Info[[#This Row],[Codigo]]),)</f>
        <v>0</v>
      </c>
      <c r="AA21" s="49">
        <f>SUMIFS(T_Fe[Fund kg/m2],T_Fe[Codigo],T_Info[[#This Row],[Codigo]])</f>
        <v>0.41664757177652828</v>
      </c>
      <c r="AB21" s="22">
        <f>SUMIFS(T_Fe[Muros kg/m2],T_Fe[Codigo],T_Info[[#This Row],[Codigo]])</f>
        <v>12.602864388693689</v>
      </c>
      <c r="AC21" s="22">
        <f>SUMIFS(T_Fe[Perimetrales kg/m2],T_Fe[Codigo],T_Info[[#This Row],[Codigo]])</f>
        <v>0</v>
      </c>
      <c r="AD21" s="22">
        <f>SUMIFS(T_Fe[Vigas kg/m2],T_Fe[Codigo],T_Info[[#This Row],[Codigo]])</f>
        <v>6.4071690924504754</v>
      </c>
      <c r="AE21" s="50">
        <f>SUMIFS(T_Fe[Losas kg/m2],T_Fe[Codigo],T_Info[[#This Row],[Codigo]])</f>
        <v>14.952163808812481</v>
      </c>
      <c r="AF21" s="49">
        <f>IFERROR(SUMIFS(T_HA[Fund m3/m2],T_HA[Codigo],T_Info[[#This Row],[Codigo]]),)</f>
        <v>0</v>
      </c>
      <c r="AG21" s="22">
        <f>IFERROR(SUMIFS(T_HA[Muros Int m3/m2],T_HA[Codigo],T_Info[[#This Row],[Codigo]]),)</f>
        <v>0</v>
      </c>
      <c r="AH21" s="22">
        <f>IFERROR(SUMIFS(T_HA[Perimetrales m3/m2],T_HA[Codigo],T_Info[[#This Row],[Codigo]]),)</f>
        <v>0</v>
      </c>
      <c r="AI21" s="22">
        <f>IFERROR(SUMIFS(T_HA[Vigas m3/m2],T_HA[Codigo],T_Info[[#This Row],[Codigo]]),)</f>
        <v>0</v>
      </c>
      <c r="AJ21" s="50">
        <f>IFERROR(SUMIFS(T_HA[Losas m3/m2],T_HA[Codigo],T_Info[[#This Row],[Codigo]]),)</f>
        <v>0</v>
      </c>
      <c r="AK21" s="22">
        <f>IFERROR(SUMIFS(T_HA[Fund m3],T_HA[Codigo],T_Info[[#This Row],[Codigo]])/SUMIFS(T_MLD[Fund Lat m2],T_MLD[Codigo],T_Info[[#This Row],[Codigo]]),)</f>
        <v>0</v>
      </c>
      <c r="AL21" s="22">
        <f>IFERROR(SUMIFS(T_HA[Muros m3],T_HA[Codigo],T_Info[[#This Row],[Codigo]])/SUMIFS(T_MLD[Muro m2],T_MLD[Codigo],T_Info[[#This Row],[Codigo]]),)</f>
        <v>0</v>
      </c>
      <c r="AM21" s="22">
        <f>IFERROR(SUMIFS(T_HA[Vigas m3],T_HA[Codigo],T_Info[[#This Row],[Codigo]])/(SUMIFS(T_MLD[Viga Lat m2],T_MLD[Codigo],T_Info[[#This Row],[Codigo]])+SUMIFS(T_MLD[Viga Fondo m2],T_MLD[Codigo],T_Info[[#This Row],[Codigo]])),)</f>
        <v>0</v>
      </c>
      <c r="AN21" s="22">
        <f>IFERROR(SUMIFS(T_HA[Losas m3],T_HA[Codigo],T_Info[[#This Row],[Codigo]])/(SUMIFS(T_MLD[Losa Fondo m2],T_MLD[Codigo],T_Info[[#This Row],[Codigo]])+SUMIFS(T_MLD[Rebalse m2],T_MLD[Codigo],T_Info[[#This Row],[Codigo]])),)</f>
        <v>0</v>
      </c>
      <c r="AO21" s="49">
        <f>IFERROR(SUMIFS(T_MLD[Fund Lat m2],T_MLD[Codigo],T_Info[[#This Row],[Codigo]])/T_Info[[#This Row],[Superficie m2]],)</f>
        <v>0</v>
      </c>
      <c r="AP21" s="22">
        <f>IFERROR(SUMIFS(T_MLD[Muro m2],T_MLD[Codigo],T_Info[[#This Row],[Codigo]])/T_Info[[#This Row],[Superficie m2]],)</f>
        <v>0</v>
      </c>
      <c r="AQ21" s="22">
        <f>IFERROR((SUMIFS(T_MLD[Viga Lat m2],T_MLD[Codigo],T_Info[[#This Row],[Codigo]])+SUMIFS(T_MLD[Viga Fondo m2],T_MLD[Codigo],T_Info[[#This Row],[Codigo]]))/T_Info[[#This Row],[Superficie m2]],)</f>
        <v>0</v>
      </c>
      <c r="AR21" s="50">
        <f>IFERROR((SUMIFS(T_MLD[Losa Fondo m2],T_MLD[Codigo],T_Info[[#This Row],[Codigo]])+SUMIFS(T_MLD[Rebalse m2],T_MLD[Codigo],T_Info[[#This Row],[Codigo]]))/T_Info[[#This Row],[Superficie m2]],)</f>
        <v>0</v>
      </c>
    </row>
    <row r="22" spans="1:44" x14ac:dyDescent="0.25">
      <c r="A22" s="52">
        <v>21</v>
      </c>
      <c r="B22" s="34">
        <v>15106</v>
      </c>
      <c r="C22" s="46" t="s">
        <v>101</v>
      </c>
      <c r="D22" s="6" t="s">
        <v>255</v>
      </c>
      <c r="E22" s="45" t="s">
        <v>80</v>
      </c>
      <c r="F22" s="34">
        <v>2</v>
      </c>
      <c r="G22" s="34">
        <v>9</v>
      </c>
      <c r="H22" s="34">
        <v>2</v>
      </c>
      <c r="I22" s="33">
        <v>10068</v>
      </c>
      <c r="J22" s="30"/>
      <c r="K22" s="53"/>
      <c r="L22" s="46"/>
      <c r="M22" s="47">
        <f>SUMIFS(T_Fe[Total kg],T_Fe[Codigo],T_Info[[#This Row],[Codigo]])</f>
        <v>289347.95999999996</v>
      </c>
      <c r="N22" s="33">
        <f>SUMIFS(T_HA[Total m3],T_HA[Codigo],T_Info[[#This Row],[Codigo]])</f>
        <v>0</v>
      </c>
      <c r="O22" s="48">
        <f>SUMIFS(T_MLD[Total m2],T_MLD[Codigo],T_Info[[#This Row],[Codigo]])</f>
        <v>0</v>
      </c>
      <c r="P22" s="49">
        <f>IFERROR(T_Info[[#This Row],[Fe (kg)]]/T_Info[[#This Row],[HA (m3)]],)</f>
        <v>0</v>
      </c>
      <c r="Q22" s="22">
        <f>IFERROR(T_Info[[#This Row],[Fe (kg)]]/T_Info[[#This Row],[Superficie m2]],)</f>
        <v>28.739368295589983</v>
      </c>
      <c r="R22" s="22">
        <f>IFERROR(T_Info[[#This Row],[HA (m3)]]/T_Info[[#This Row],[Superficie m2]],)</f>
        <v>0</v>
      </c>
      <c r="S22" s="22">
        <f>IFERROR(T_Info[[#This Row],[HA (m3)]]/T_Info[[#This Row],[MLD (m2)]],)</f>
        <v>0</v>
      </c>
      <c r="T22" s="50">
        <f>IFERROR(T_Info[[#This Row],[MLD (m2)]]/T_Info[[#This Row],[Superficie m2]],)</f>
        <v>0</v>
      </c>
      <c r="U22" s="49">
        <f>IFERROR(SUMIFS(T_Fe[Fund kg],T_Fe[Codigo],T_Info[[#This Row],[Codigo]])/SUMIFS(T_HA[Fund m3],T_HA[Codigo],T_Info[[#This Row],[Codigo]]),)</f>
        <v>0</v>
      </c>
      <c r="V22" s="22">
        <f>IFERROR(SUMIFS(T_Fe[Grua kg],T_Fe[Codigo],T_Info[[#This Row],[Codigo]])/SUMIFS(T_HA[Grua m3],T_HA[Codigo],T_Info[[#This Row],[Codigo]]),)</f>
        <v>0</v>
      </c>
      <c r="W22" s="22">
        <f>IFERROR(SUMIFS(T_Fe[Muros kg],T_Fe[Codigo],T_Info[[#This Row],[Codigo]])/SUMIFS(T_HA[Muros Int m3],T_HA[Codigo],T_Info[[#This Row],[Codigo]]),)</f>
        <v>0</v>
      </c>
      <c r="X22" s="22">
        <f>IFERROR(SUMIFS(T_Fe[Perimetrales kg],T_Fe[Codigo],T_Info[[#This Row],[Codigo]])/SUMIFS(T_HA[Perimetrales m3],T_HA[Codigo],T_Info[[#This Row],[Codigo]]),)</f>
        <v>0</v>
      </c>
      <c r="Y22" s="22">
        <f>IFERROR(SUMIFS(T_Fe[Vigas kg],T_Fe[Codigo],T_Info[[#This Row],[Codigo]])/SUMIFS(T_HA[Vigas m3],T_HA[Codigo],T_Info[[#This Row],[Codigo]]),)</f>
        <v>0</v>
      </c>
      <c r="Z22" s="50">
        <f>IFERROR(SUMIFS(T_Fe[Losas kg],T_Fe[Codigo],T_Info[[#This Row],[Codigo]])/SUMIFS(T_HA[Losas m3],T_HA[Codigo],T_Info[[#This Row],[Codigo]]),)</f>
        <v>0</v>
      </c>
      <c r="AA22" s="49">
        <f>SUMIFS(T_Fe[Fund kg/m2],T_Fe[Codigo],T_Info[[#This Row],[Codigo]])</f>
        <v>0.23855184743742552</v>
      </c>
      <c r="AB22" s="22">
        <f>SUMIFS(T_Fe[Muros kg/m2],T_Fe[Codigo],T_Info[[#This Row],[Codigo]])</f>
        <v>13.452167262614221</v>
      </c>
      <c r="AC22" s="22">
        <f>SUMIFS(T_Fe[Perimetrales kg/m2],T_Fe[Codigo],T_Info[[#This Row],[Codigo]])</f>
        <v>0</v>
      </c>
      <c r="AD22" s="22">
        <f>SUMIFS(T_Fe[Vigas kg/m2],T_Fe[Codigo],T_Info[[#This Row],[Codigo]])</f>
        <v>2.5368752483114818</v>
      </c>
      <c r="AE22" s="50">
        <f>SUMIFS(T_Fe[Losas kg/m2],T_Fe[Codigo],T_Info[[#This Row],[Codigo]])</f>
        <v>12.511773937226856</v>
      </c>
      <c r="AF22" s="49">
        <f>IFERROR(SUMIFS(T_HA[Fund m3/m2],T_HA[Codigo],T_Info[[#This Row],[Codigo]]),)</f>
        <v>0</v>
      </c>
      <c r="AG22" s="22">
        <f>IFERROR(SUMIFS(T_HA[Muros Int m3/m2],T_HA[Codigo],T_Info[[#This Row],[Codigo]]),)</f>
        <v>0</v>
      </c>
      <c r="AH22" s="22">
        <f>IFERROR(SUMIFS(T_HA[Perimetrales m3/m2],T_HA[Codigo],T_Info[[#This Row],[Codigo]]),)</f>
        <v>0</v>
      </c>
      <c r="AI22" s="22">
        <f>IFERROR(SUMIFS(T_HA[Vigas m3/m2],T_HA[Codigo],T_Info[[#This Row],[Codigo]]),)</f>
        <v>0</v>
      </c>
      <c r="AJ22" s="50">
        <f>IFERROR(SUMIFS(T_HA[Losas m3/m2],T_HA[Codigo],T_Info[[#This Row],[Codigo]]),)</f>
        <v>0</v>
      </c>
      <c r="AK22" s="22">
        <f>IFERROR(SUMIFS(T_HA[Fund m3],T_HA[Codigo],T_Info[[#This Row],[Codigo]])/SUMIFS(T_MLD[Fund Lat m2],T_MLD[Codigo],T_Info[[#This Row],[Codigo]]),)</f>
        <v>0</v>
      </c>
      <c r="AL22" s="22">
        <f>IFERROR(SUMIFS(T_HA[Muros m3],T_HA[Codigo],T_Info[[#This Row],[Codigo]])/SUMIFS(T_MLD[Muro m2],T_MLD[Codigo],T_Info[[#This Row],[Codigo]]),)</f>
        <v>0</v>
      </c>
      <c r="AM22" s="22">
        <f>IFERROR(SUMIFS(T_HA[Vigas m3],T_HA[Codigo],T_Info[[#This Row],[Codigo]])/(SUMIFS(T_MLD[Viga Lat m2],T_MLD[Codigo],T_Info[[#This Row],[Codigo]])+SUMIFS(T_MLD[Viga Fondo m2],T_MLD[Codigo],T_Info[[#This Row],[Codigo]])),)</f>
        <v>0</v>
      </c>
      <c r="AN22" s="22">
        <f>IFERROR(SUMIFS(T_HA[Losas m3],T_HA[Codigo],T_Info[[#This Row],[Codigo]])/(SUMIFS(T_MLD[Losa Fondo m2],T_MLD[Codigo],T_Info[[#This Row],[Codigo]])+SUMIFS(T_MLD[Rebalse m2],T_MLD[Codigo],T_Info[[#This Row],[Codigo]])),)</f>
        <v>0</v>
      </c>
      <c r="AO22" s="49">
        <f>IFERROR(SUMIFS(T_MLD[Fund Lat m2],T_MLD[Codigo],T_Info[[#This Row],[Codigo]])/T_Info[[#This Row],[Superficie m2]],)</f>
        <v>0</v>
      </c>
      <c r="AP22" s="22">
        <f>IFERROR(SUMIFS(T_MLD[Muro m2],T_MLD[Codigo],T_Info[[#This Row],[Codigo]])/T_Info[[#This Row],[Superficie m2]],)</f>
        <v>0</v>
      </c>
      <c r="AQ22" s="22">
        <f>IFERROR((SUMIFS(T_MLD[Viga Lat m2],T_MLD[Codigo],T_Info[[#This Row],[Codigo]])+SUMIFS(T_MLD[Viga Fondo m2],T_MLD[Codigo],T_Info[[#This Row],[Codigo]]))/T_Info[[#This Row],[Superficie m2]],)</f>
        <v>0</v>
      </c>
      <c r="AR22" s="50">
        <f>IFERROR((SUMIFS(T_MLD[Losa Fondo m2],T_MLD[Codigo],T_Info[[#This Row],[Codigo]])+SUMIFS(T_MLD[Rebalse m2],T_MLD[Codigo],T_Info[[#This Row],[Codigo]]))/T_Info[[#This Row],[Superficie m2]],)</f>
        <v>0</v>
      </c>
    </row>
    <row r="23" spans="1:44" x14ac:dyDescent="0.25">
      <c r="A23" s="52">
        <v>22</v>
      </c>
      <c r="B23" s="34">
        <v>16001</v>
      </c>
      <c r="C23" s="46" t="s">
        <v>42</v>
      </c>
      <c r="D23" s="6" t="s">
        <v>257</v>
      </c>
      <c r="E23" s="45" t="s">
        <v>80</v>
      </c>
      <c r="F23" s="34">
        <v>2</v>
      </c>
      <c r="G23" s="34">
        <v>7</v>
      </c>
      <c r="H23" s="34">
        <v>2</v>
      </c>
      <c r="I23" s="33">
        <v>11324</v>
      </c>
      <c r="J23" s="30"/>
      <c r="K23" s="53"/>
      <c r="L23" s="46"/>
      <c r="M23" s="47">
        <f>SUMIFS(T_Fe[Total kg],T_Fe[Codigo],T_Info[[#This Row],[Codigo]])</f>
        <v>375946.51977304346</v>
      </c>
      <c r="N23" s="33">
        <f>SUMIFS(T_HA[Total m3],T_HA[Codigo],T_Info[[#This Row],[Codigo]])</f>
        <v>2287.3000000000002</v>
      </c>
      <c r="O23" s="48">
        <f>SUMIFS(T_MLD[Total m2],T_MLD[Codigo],T_Info[[#This Row],[Codigo]])</f>
        <v>0</v>
      </c>
      <c r="P23" s="49">
        <f>IFERROR(T_Info[[#This Row],[Fe (kg)]]/T_Info[[#This Row],[HA (m3)]],)</f>
        <v>164.36257586370107</v>
      </c>
      <c r="Q23" s="22">
        <f>IFERROR(T_Info[[#This Row],[Fe (kg)]]/T_Info[[#This Row],[Superficie m2]],)</f>
        <v>33.199092173529095</v>
      </c>
      <c r="R23" s="22">
        <f>IFERROR(T_Info[[#This Row],[HA (m3)]]/T_Info[[#This Row],[Superficie m2]],)</f>
        <v>0.20198693041328153</v>
      </c>
      <c r="S23" s="22">
        <f>IFERROR(T_Info[[#This Row],[HA (m3)]]/T_Info[[#This Row],[MLD (m2)]],)</f>
        <v>0</v>
      </c>
      <c r="T23" s="50">
        <f>IFERROR(T_Info[[#This Row],[MLD (m2)]]/T_Info[[#This Row],[Superficie m2]],)</f>
        <v>0</v>
      </c>
      <c r="U23" s="49">
        <f>IFERROR(SUMIFS(T_Fe[Fund kg],T_Fe[Codigo],T_Info[[#This Row],[Codigo]])/SUMIFS(T_HA[Fund m3],T_HA[Codigo],T_Info[[#This Row],[Codigo]]),)</f>
        <v>13.295324576842358</v>
      </c>
      <c r="V23" s="22">
        <f>IFERROR(SUMIFS(T_Fe[Grua kg],T_Fe[Codigo],T_Info[[#This Row],[Codigo]])/SUMIFS(T_HA[Grua m3],T_HA[Codigo],T_Info[[#This Row],[Codigo]]),)</f>
        <v>0</v>
      </c>
      <c r="W23" s="22">
        <f>IFERROR(SUMIFS(T_Fe[Muros kg],T_Fe[Codigo],T_Info[[#This Row],[Codigo]])/SUMIFS(T_HA[Muros Int m3],T_HA[Codigo],T_Info[[#This Row],[Codigo]]),)</f>
        <v>0</v>
      </c>
      <c r="X23" s="22">
        <f>IFERROR(SUMIFS(T_Fe[Perimetrales kg],T_Fe[Codigo],T_Info[[#This Row],[Codigo]])/SUMIFS(T_HA[Perimetrales m3],T_HA[Codigo],T_Info[[#This Row],[Codigo]]),)</f>
        <v>0</v>
      </c>
      <c r="Y23" s="22">
        <f>IFERROR(SUMIFS(T_Fe[Vigas kg],T_Fe[Codigo],T_Info[[#This Row],[Codigo]])/SUMIFS(T_HA[Vigas m3],T_HA[Codigo],T_Info[[#This Row],[Codigo]]),)</f>
        <v>110.40353628047635</v>
      </c>
      <c r="Z23" s="50">
        <f>IFERROR(SUMIFS(T_Fe[Losas kg],T_Fe[Codigo],T_Info[[#This Row],[Codigo]])/SUMIFS(T_HA[Losas m3],T_HA[Codigo],T_Info[[#This Row],[Codigo]]),)</f>
        <v>87.520464645015025</v>
      </c>
      <c r="AA23" s="49">
        <f>SUMIFS(T_Fe[Fund kg/m2],T_Fe[Codigo],T_Info[[#This Row],[Codigo]])</f>
        <v>0.26463848106855065</v>
      </c>
      <c r="AB23" s="22">
        <f>SUMIFS(T_Fe[Muros kg/m2],T_Fe[Codigo],T_Info[[#This Row],[Codigo]])</f>
        <v>16.483636604481731</v>
      </c>
      <c r="AC23" s="22">
        <f>SUMIFS(T_Fe[Perimetrales kg/m2],T_Fe[Codigo],T_Info[[#This Row],[Codigo]])</f>
        <v>0</v>
      </c>
      <c r="AD23" s="22">
        <f>SUMIFS(T_Fe[Vigas kg/m2],T_Fe[Codigo],T_Info[[#This Row],[Codigo]])</f>
        <v>2.4841770614858154</v>
      </c>
      <c r="AE23" s="50">
        <f>SUMIFS(T_Fe[Losas kg/m2],T_Fe[Codigo],T_Info[[#This Row],[Codigo]])</f>
        <v>13.966640026492993</v>
      </c>
      <c r="AF23" s="49">
        <f>IFERROR(SUMIFS(T_HA[Fund m3/m2],T_HA[Codigo],T_Info[[#This Row],[Codigo]]),)</f>
        <v>1.9904627340162486E-2</v>
      </c>
      <c r="AG23" s="22">
        <f>IFERROR(SUMIFS(T_HA[Muros Int m3/m2],T_HA[Codigo],T_Info[[#This Row],[Codigo]]),)</f>
        <v>0</v>
      </c>
      <c r="AH23" s="22">
        <f>IFERROR(SUMIFS(T_HA[Perimetrales m3/m2],T_HA[Codigo],T_Info[[#This Row],[Codigo]]),)</f>
        <v>0</v>
      </c>
      <c r="AI23" s="22">
        <f>IFERROR(SUMIFS(T_HA[Vigas m3/m2],T_HA[Codigo],T_Info[[#This Row],[Codigo]]),)</f>
        <v>2.2500883080183682E-2</v>
      </c>
      <c r="AJ23" s="50">
        <f>IFERROR(SUMIFS(T_HA[Losas m3/m2],T_HA[Codigo],T_Info[[#This Row],[Codigo]]),)</f>
        <v>0.15958141999293535</v>
      </c>
      <c r="AK23" s="22">
        <f>IFERROR(SUMIFS(T_HA[Fund m3],T_HA[Codigo],T_Info[[#This Row],[Codigo]])/SUMIFS(T_MLD[Fund Lat m2],T_MLD[Codigo],T_Info[[#This Row],[Codigo]]),)</f>
        <v>0</v>
      </c>
      <c r="AL23" s="22">
        <f>IFERROR(SUMIFS(T_HA[Muros m3],T_HA[Codigo],T_Info[[#This Row],[Codigo]])/SUMIFS(T_MLD[Muro m2],T_MLD[Codigo],T_Info[[#This Row],[Codigo]]),)</f>
        <v>0</v>
      </c>
      <c r="AM23" s="22">
        <f>IFERROR(SUMIFS(T_HA[Vigas m3],T_HA[Codigo],T_Info[[#This Row],[Codigo]])/(SUMIFS(T_MLD[Viga Lat m2],T_MLD[Codigo],T_Info[[#This Row],[Codigo]])+SUMIFS(T_MLD[Viga Fondo m2],T_MLD[Codigo],T_Info[[#This Row],[Codigo]])),)</f>
        <v>0</v>
      </c>
      <c r="AN23" s="22">
        <f>IFERROR(SUMIFS(T_HA[Losas m3],T_HA[Codigo],T_Info[[#This Row],[Codigo]])/(SUMIFS(T_MLD[Losa Fondo m2],T_MLD[Codigo],T_Info[[#This Row],[Codigo]])+SUMIFS(T_MLD[Rebalse m2],T_MLD[Codigo],T_Info[[#This Row],[Codigo]])),)</f>
        <v>0</v>
      </c>
      <c r="AO23" s="49">
        <f>IFERROR(SUMIFS(T_MLD[Fund Lat m2],T_MLD[Codigo],T_Info[[#This Row],[Codigo]])/T_Info[[#This Row],[Superficie m2]],)</f>
        <v>0</v>
      </c>
      <c r="AP23" s="22">
        <f>IFERROR(SUMIFS(T_MLD[Muro m2],T_MLD[Codigo],T_Info[[#This Row],[Codigo]])/T_Info[[#This Row],[Superficie m2]],)</f>
        <v>0</v>
      </c>
      <c r="AQ23" s="22">
        <f>IFERROR((SUMIFS(T_MLD[Viga Lat m2],T_MLD[Codigo],T_Info[[#This Row],[Codigo]])+SUMIFS(T_MLD[Viga Fondo m2],T_MLD[Codigo],T_Info[[#This Row],[Codigo]]))/T_Info[[#This Row],[Superficie m2]],)</f>
        <v>0</v>
      </c>
      <c r="AR23" s="50">
        <f>IFERROR((SUMIFS(T_MLD[Losa Fondo m2],T_MLD[Codigo],T_Info[[#This Row],[Codigo]])+SUMIFS(T_MLD[Rebalse m2],T_MLD[Codigo],T_Info[[#This Row],[Codigo]]))/T_Info[[#This Row],[Superficie m2]],)</f>
        <v>0</v>
      </c>
    </row>
    <row r="24" spans="1:44" x14ac:dyDescent="0.25">
      <c r="A24" s="52">
        <v>23</v>
      </c>
      <c r="B24" s="34">
        <v>16002</v>
      </c>
      <c r="C24" s="46" t="s">
        <v>44</v>
      </c>
      <c r="D24" s="6" t="s">
        <v>255</v>
      </c>
      <c r="E24" s="45" t="s">
        <v>80</v>
      </c>
      <c r="F24" s="34">
        <v>2</v>
      </c>
      <c r="G24" s="34">
        <v>13</v>
      </c>
      <c r="H24" s="34">
        <v>2</v>
      </c>
      <c r="I24" s="33">
        <v>11607</v>
      </c>
      <c r="J24" s="30"/>
      <c r="K24" s="53"/>
      <c r="L24" s="46"/>
      <c r="M24" s="47">
        <f>SUMIFS(T_Fe[Total kg],T_Fe[Codigo],T_Info[[#This Row],[Codigo]])</f>
        <v>340501.47000000009</v>
      </c>
      <c r="N24" s="33">
        <f>SUMIFS(T_HA[Total m3],T_HA[Codigo],T_Info[[#This Row],[Codigo]])</f>
        <v>2502.8000000000002</v>
      </c>
      <c r="O24" s="48">
        <f>SUMIFS(T_MLD[Total m2],T_MLD[Codigo],T_Info[[#This Row],[Codigo]])</f>
        <v>0</v>
      </c>
      <c r="P24" s="49">
        <f>IFERROR(T_Info[[#This Row],[Fe (kg)]]/T_Info[[#This Row],[HA (m3)]],)</f>
        <v>136.04821400031966</v>
      </c>
      <c r="Q24" s="22">
        <f>IFERROR(T_Info[[#This Row],[Fe (kg)]]/T_Info[[#This Row],[Superficie m2]],)</f>
        <v>29.335872318428542</v>
      </c>
      <c r="R24" s="22">
        <f>IFERROR(T_Info[[#This Row],[HA (m3)]]/T_Info[[#This Row],[Superficie m2]],)</f>
        <v>0.21562850004307746</v>
      </c>
      <c r="S24" s="22">
        <f>IFERROR(T_Info[[#This Row],[HA (m3)]]/T_Info[[#This Row],[MLD (m2)]],)</f>
        <v>0</v>
      </c>
      <c r="T24" s="50">
        <f>IFERROR(T_Info[[#This Row],[MLD (m2)]]/T_Info[[#This Row],[Superficie m2]],)</f>
        <v>0</v>
      </c>
      <c r="U24" s="49">
        <f>IFERROR(SUMIFS(T_Fe[Fund kg],T_Fe[Codigo],T_Info[[#This Row],[Codigo]])/SUMIFS(T_HA[Fund m3],T_HA[Codigo],T_Info[[#This Row],[Codigo]]),)</f>
        <v>17.094244604316547</v>
      </c>
      <c r="V24" s="22">
        <f>IFERROR(SUMIFS(T_Fe[Grua kg],T_Fe[Codigo],T_Info[[#This Row],[Codigo]])/SUMIFS(T_HA[Grua m3],T_HA[Codigo],T_Info[[#This Row],[Codigo]]),)</f>
        <v>0</v>
      </c>
      <c r="W24" s="22">
        <f>IFERROR(SUMIFS(T_Fe[Muros kg],T_Fe[Codigo],T_Info[[#This Row],[Codigo]])/SUMIFS(T_HA[Muros Int m3],T_HA[Codigo],T_Info[[#This Row],[Codigo]]),)</f>
        <v>0</v>
      </c>
      <c r="X24" s="22">
        <f>IFERROR(SUMIFS(T_Fe[Perimetrales kg],T_Fe[Codigo],T_Info[[#This Row],[Codigo]])/SUMIFS(T_HA[Perimetrales m3],T_HA[Codigo],T_Info[[#This Row],[Codigo]]),)</f>
        <v>0</v>
      </c>
      <c r="Y24" s="22">
        <f>IFERROR(SUMIFS(T_Fe[Vigas kg],T_Fe[Codigo],T_Info[[#This Row],[Codigo]])/SUMIFS(T_HA[Vigas m3],T_HA[Codigo],T_Info[[#This Row],[Codigo]]),)</f>
        <v>153.88340638697562</v>
      </c>
      <c r="Z24" s="50">
        <f>IFERROR(SUMIFS(T_Fe[Losas kg],T_Fe[Codigo],T_Info[[#This Row],[Codigo]])/SUMIFS(T_HA[Losas m3],T_HA[Codigo],T_Info[[#This Row],[Codigo]]),)</f>
        <v>70.505325412680065</v>
      </c>
      <c r="AA24" s="49">
        <f>SUMIFS(T_Fe[Fund kg/m2],T_Fe[Codigo],T_Info[[#This Row],[Codigo]])</f>
        <v>0.36848281209614886</v>
      </c>
      <c r="AB24" s="22">
        <f>SUMIFS(T_Fe[Muros kg/m2],T_Fe[Codigo],T_Info[[#This Row],[Codigo]])</f>
        <v>13.178159731196693</v>
      </c>
      <c r="AC24" s="22">
        <f>SUMIFS(T_Fe[Perimetrales kg/m2],T_Fe[Codigo],T_Info[[#This Row],[Codigo]])</f>
        <v>0</v>
      </c>
      <c r="AD24" s="22">
        <f>SUMIFS(T_Fe[Vigas kg/m2],T_Fe[Codigo],T_Info[[#This Row],[Codigo]])</f>
        <v>4.234544671319032</v>
      </c>
      <c r="AE24" s="50">
        <f>SUMIFS(T_Fe[Losas kg/m2],T_Fe[Codigo],T_Info[[#This Row],[Codigo]])</f>
        <v>11.554685103816663</v>
      </c>
      <c r="AF24" s="49">
        <f>IFERROR(SUMIFS(T_HA[Fund m3/m2],T_HA[Codigo],T_Info[[#This Row],[Codigo]]),)</f>
        <v>2.1555957611785991E-2</v>
      </c>
      <c r="AG24" s="22">
        <f>IFERROR(SUMIFS(T_HA[Muros Int m3/m2],T_HA[Codigo],T_Info[[#This Row],[Codigo]]),)</f>
        <v>0</v>
      </c>
      <c r="AH24" s="22">
        <f>IFERROR(SUMIFS(T_HA[Perimetrales m3/m2],T_HA[Codigo],T_Info[[#This Row],[Codigo]]),)</f>
        <v>0</v>
      </c>
      <c r="AI24" s="22">
        <f>IFERROR(SUMIFS(T_HA[Vigas m3/m2],T_HA[Codigo],T_Info[[#This Row],[Codigo]]),)</f>
        <v>2.7517877143103296E-2</v>
      </c>
      <c r="AJ24" s="50">
        <f>IFERROR(SUMIFS(T_HA[Losas m3/m2],T_HA[Codigo],T_Info[[#This Row],[Codigo]]),)</f>
        <v>0.16388386318600845</v>
      </c>
      <c r="AK24" s="22">
        <f>IFERROR(SUMIFS(T_HA[Fund m3],T_HA[Codigo],T_Info[[#This Row],[Codigo]])/SUMIFS(T_MLD[Fund Lat m2],T_MLD[Codigo],T_Info[[#This Row],[Codigo]]),)</f>
        <v>0</v>
      </c>
      <c r="AL24" s="22">
        <f>IFERROR(SUMIFS(T_HA[Muros m3],T_HA[Codigo],T_Info[[#This Row],[Codigo]])/SUMIFS(T_MLD[Muro m2],T_MLD[Codigo],T_Info[[#This Row],[Codigo]]),)</f>
        <v>0</v>
      </c>
      <c r="AM24" s="22">
        <f>IFERROR(SUMIFS(T_HA[Vigas m3],T_HA[Codigo],T_Info[[#This Row],[Codigo]])/(SUMIFS(T_MLD[Viga Lat m2],T_MLD[Codigo],T_Info[[#This Row],[Codigo]])+SUMIFS(T_MLD[Viga Fondo m2],T_MLD[Codigo],T_Info[[#This Row],[Codigo]])),)</f>
        <v>0</v>
      </c>
      <c r="AN24" s="22">
        <f>IFERROR(SUMIFS(T_HA[Losas m3],T_HA[Codigo],T_Info[[#This Row],[Codigo]])/(SUMIFS(T_MLD[Losa Fondo m2],T_MLD[Codigo],T_Info[[#This Row],[Codigo]])+SUMIFS(T_MLD[Rebalse m2],T_MLD[Codigo],T_Info[[#This Row],[Codigo]])),)</f>
        <v>0</v>
      </c>
      <c r="AO24" s="49">
        <f>IFERROR(SUMIFS(T_MLD[Fund Lat m2],T_MLD[Codigo],T_Info[[#This Row],[Codigo]])/T_Info[[#This Row],[Superficie m2]],)</f>
        <v>0</v>
      </c>
      <c r="AP24" s="22">
        <f>IFERROR(SUMIFS(T_MLD[Muro m2],T_MLD[Codigo],T_Info[[#This Row],[Codigo]])/T_Info[[#This Row],[Superficie m2]],)</f>
        <v>0</v>
      </c>
      <c r="AQ24" s="22">
        <f>IFERROR((SUMIFS(T_MLD[Viga Lat m2],T_MLD[Codigo],T_Info[[#This Row],[Codigo]])+SUMIFS(T_MLD[Viga Fondo m2],T_MLD[Codigo],T_Info[[#This Row],[Codigo]]))/T_Info[[#This Row],[Superficie m2]],)</f>
        <v>0</v>
      </c>
      <c r="AR24" s="50">
        <f>IFERROR((SUMIFS(T_MLD[Losa Fondo m2],T_MLD[Codigo],T_Info[[#This Row],[Codigo]])+SUMIFS(T_MLD[Rebalse m2],T_MLD[Codigo],T_Info[[#This Row],[Codigo]]))/T_Info[[#This Row],[Superficie m2]],)</f>
        <v>0</v>
      </c>
    </row>
    <row r="25" spans="1:44" x14ac:dyDescent="0.25">
      <c r="A25" s="52">
        <v>24</v>
      </c>
      <c r="B25" s="34">
        <v>16003</v>
      </c>
      <c r="C25" s="46" t="s">
        <v>43</v>
      </c>
      <c r="D25" s="6" t="s">
        <v>255</v>
      </c>
      <c r="E25" s="45" t="s">
        <v>80</v>
      </c>
      <c r="F25" s="34">
        <v>2</v>
      </c>
      <c r="G25" s="34">
        <v>14</v>
      </c>
      <c r="H25" s="34">
        <v>3</v>
      </c>
      <c r="I25" s="33">
        <v>15412</v>
      </c>
      <c r="J25" s="30"/>
      <c r="K25" s="53"/>
      <c r="L25" s="46"/>
      <c r="M25" s="47">
        <f>SUMIFS(T_Fe[Total kg],T_Fe[Codigo],T_Info[[#This Row],[Codigo]])</f>
        <v>419086.97694450832</v>
      </c>
      <c r="N25" s="33">
        <f>SUMIFS(T_HA[Total m3],T_HA[Codigo],T_Info[[#This Row],[Codigo]])</f>
        <v>3220</v>
      </c>
      <c r="O25" s="48">
        <f>SUMIFS(T_MLD[Total m2],T_MLD[Codigo],T_Info[[#This Row],[Codigo]])</f>
        <v>0</v>
      </c>
      <c r="P25" s="49">
        <f>IFERROR(T_Info[[#This Row],[Fe (kg)]]/T_Info[[#This Row],[HA (m3)]],)</f>
        <v>130.15123507593427</v>
      </c>
      <c r="Q25" s="22">
        <f>IFERROR(T_Info[[#This Row],[Fe (kg)]]/T_Info[[#This Row],[Superficie m2]],)</f>
        <v>27.192251294089562</v>
      </c>
      <c r="R25" s="22">
        <f>IFERROR(T_Info[[#This Row],[HA (m3)]]/T_Info[[#This Row],[Superficie m2]],)</f>
        <v>0.20892810796781727</v>
      </c>
      <c r="S25" s="22">
        <f>IFERROR(T_Info[[#This Row],[HA (m3)]]/T_Info[[#This Row],[MLD (m2)]],)</f>
        <v>0</v>
      </c>
      <c r="T25" s="50">
        <f>IFERROR(T_Info[[#This Row],[MLD (m2)]]/T_Info[[#This Row],[Superficie m2]],)</f>
        <v>0</v>
      </c>
      <c r="U25" s="49">
        <f>IFERROR(SUMIFS(T_Fe[Fund kg],T_Fe[Codigo],T_Info[[#This Row],[Codigo]])/SUMIFS(T_HA[Fund m3],T_HA[Codigo],T_Info[[#This Row],[Codigo]]),)</f>
        <v>15.543866558279698</v>
      </c>
      <c r="V25" s="22">
        <f>IFERROR(SUMIFS(T_Fe[Grua kg],T_Fe[Codigo],T_Info[[#This Row],[Codigo]])/SUMIFS(T_HA[Grua m3],T_HA[Codigo],T_Info[[#This Row],[Codigo]]),)</f>
        <v>0</v>
      </c>
      <c r="W25" s="22">
        <f>IFERROR(SUMIFS(T_Fe[Muros kg],T_Fe[Codigo],T_Info[[#This Row],[Codigo]])/SUMIFS(T_HA[Muros Int m3],T_HA[Codigo],T_Info[[#This Row],[Codigo]]),)</f>
        <v>0</v>
      </c>
      <c r="X25" s="22">
        <f>IFERROR(SUMIFS(T_Fe[Perimetrales kg],T_Fe[Codigo],T_Info[[#This Row],[Codigo]])/SUMIFS(T_HA[Perimetrales m3],T_HA[Codigo],T_Info[[#This Row],[Codigo]]),)</f>
        <v>0</v>
      </c>
      <c r="Y25" s="22">
        <f>IFERROR(SUMIFS(T_Fe[Vigas kg],T_Fe[Codigo],T_Info[[#This Row],[Codigo]])/SUMIFS(T_HA[Vigas m3],T_HA[Codigo],T_Info[[#This Row],[Codigo]]),)</f>
        <v>143.03346943459232</v>
      </c>
      <c r="Z25" s="50">
        <f>IFERROR(SUMIFS(T_Fe[Losas kg],T_Fe[Codigo],T_Info[[#This Row],[Codigo]])/SUMIFS(T_HA[Losas m3],T_HA[Codigo],T_Info[[#This Row],[Codigo]]),)</f>
        <v>69.935441280373254</v>
      </c>
      <c r="AA25" s="49">
        <f>SUMIFS(T_Fe[Fund kg/m2],T_Fe[Codigo],T_Info[[#This Row],[Codigo]])</f>
        <v>0.26484683092423106</v>
      </c>
      <c r="AB25" s="22">
        <f>SUMIFS(T_Fe[Muros kg/m2],T_Fe[Codigo],T_Info[[#This Row],[Codigo]])</f>
        <v>11.448626364000889</v>
      </c>
      <c r="AC25" s="22">
        <f>SUMIFS(T_Fe[Perimetrales kg/m2],T_Fe[Codigo],T_Info[[#This Row],[Codigo]])</f>
        <v>0</v>
      </c>
      <c r="AD25" s="22">
        <f>SUMIFS(T_Fe[Vigas kg/m2],T_Fe[Codigo],T_Info[[#This Row],[Codigo]])</f>
        <v>4.0287327460132705</v>
      </c>
      <c r="AE25" s="50">
        <f>SUMIFS(T_Fe[Losas kg/m2],T_Fe[Codigo],T_Info[[#This Row],[Codigo]])</f>
        <v>11.45004535315117</v>
      </c>
      <c r="AF25" s="49">
        <f>IFERROR(SUMIFS(T_HA[Fund m3/m2],T_HA[Codigo],T_Info[[#This Row],[Codigo]]),)</f>
        <v>1.703867116532572E-2</v>
      </c>
      <c r="AG25" s="22">
        <f>IFERROR(SUMIFS(T_HA[Muros Int m3/m2],T_HA[Codigo],T_Info[[#This Row],[Codigo]]),)</f>
        <v>0</v>
      </c>
      <c r="AH25" s="22">
        <f>IFERROR(SUMIFS(T_HA[Perimetrales m3/m2],T_HA[Codigo],T_Info[[#This Row],[Codigo]]),)</f>
        <v>0</v>
      </c>
      <c r="AI25" s="22">
        <f>IFERROR(SUMIFS(T_HA[Vigas m3/m2],T_HA[Codigo],T_Info[[#This Row],[Codigo]]),)</f>
        <v>2.8166363872307296E-2</v>
      </c>
      <c r="AJ25" s="50">
        <f>IFERROR(SUMIFS(T_HA[Losas m3/m2],T_HA[Codigo],T_Info[[#This Row],[Codigo]]),)</f>
        <v>0.16372307293018429</v>
      </c>
      <c r="AK25" s="22">
        <f>IFERROR(SUMIFS(T_HA[Fund m3],T_HA[Codigo],T_Info[[#This Row],[Codigo]])/SUMIFS(T_MLD[Fund Lat m2],T_MLD[Codigo],T_Info[[#This Row],[Codigo]]),)</f>
        <v>0</v>
      </c>
      <c r="AL25" s="22">
        <f>IFERROR(SUMIFS(T_HA[Muros m3],T_HA[Codigo],T_Info[[#This Row],[Codigo]])/SUMIFS(T_MLD[Muro m2],T_MLD[Codigo],T_Info[[#This Row],[Codigo]]),)</f>
        <v>0</v>
      </c>
      <c r="AM25" s="22">
        <f>IFERROR(SUMIFS(T_HA[Vigas m3],T_HA[Codigo],T_Info[[#This Row],[Codigo]])/(SUMIFS(T_MLD[Viga Lat m2],T_MLD[Codigo],T_Info[[#This Row],[Codigo]])+SUMIFS(T_MLD[Viga Fondo m2],T_MLD[Codigo],T_Info[[#This Row],[Codigo]])),)</f>
        <v>0</v>
      </c>
      <c r="AN25" s="22">
        <f>IFERROR(SUMIFS(T_HA[Losas m3],T_HA[Codigo],T_Info[[#This Row],[Codigo]])/(SUMIFS(T_MLD[Losa Fondo m2],T_MLD[Codigo],T_Info[[#This Row],[Codigo]])+SUMIFS(T_MLD[Rebalse m2],T_MLD[Codigo],T_Info[[#This Row],[Codigo]])),)</f>
        <v>0</v>
      </c>
      <c r="AO25" s="49">
        <f>IFERROR(SUMIFS(T_MLD[Fund Lat m2],T_MLD[Codigo],T_Info[[#This Row],[Codigo]])/T_Info[[#This Row],[Superficie m2]],)</f>
        <v>0</v>
      </c>
      <c r="AP25" s="22">
        <f>IFERROR(SUMIFS(T_MLD[Muro m2],T_MLD[Codigo],T_Info[[#This Row],[Codigo]])/T_Info[[#This Row],[Superficie m2]],)</f>
        <v>0</v>
      </c>
      <c r="AQ25" s="22">
        <f>IFERROR((SUMIFS(T_MLD[Viga Lat m2],T_MLD[Codigo],T_Info[[#This Row],[Codigo]])+SUMIFS(T_MLD[Viga Fondo m2],T_MLD[Codigo],T_Info[[#This Row],[Codigo]]))/T_Info[[#This Row],[Superficie m2]],)</f>
        <v>0</v>
      </c>
      <c r="AR25" s="50">
        <f>IFERROR((SUMIFS(T_MLD[Losa Fondo m2],T_MLD[Codigo],T_Info[[#This Row],[Codigo]])+SUMIFS(T_MLD[Rebalse m2],T_MLD[Codigo],T_Info[[#This Row],[Codigo]]))/T_Info[[#This Row],[Superficie m2]],)</f>
        <v>0</v>
      </c>
    </row>
    <row r="26" spans="1:44" x14ac:dyDescent="0.25">
      <c r="A26" s="52">
        <v>25</v>
      </c>
      <c r="B26" s="34">
        <v>16018</v>
      </c>
      <c r="C26" s="46" t="s">
        <v>70</v>
      </c>
      <c r="D26" s="6" t="s">
        <v>259</v>
      </c>
      <c r="E26" s="45" t="s">
        <v>91</v>
      </c>
      <c r="F26" s="34">
        <v>2</v>
      </c>
      <c r="G26" s="34">
        <v>5</v>
      </c>
      <c r="H26" s="34">
        <v>3</v>
      </c>
      <c r="I26" s="33">
        <v>10939</v>
      </c>
      <c r="J26" s="30"/>
      <c r="K26" s="53"/>
      <c r="L26" s="46"/>
      <c r="M26" s="47">
        <f>SUMIFS(T_Fe[Total kg],T_Fe[Codigo],T_Info[[#This Row],[Codigo]])</f>
        <v>343484.6</v>
      </c>
      <c r="N26" s="33">
        <f>SUMIFS(T_HA[Total m3],T_HA[Codigo],T_Info[[#This Row],[Codigo]])</f>
        <v>2338.12</v>
      </c>
      <c r="O26" s="48">
        <f>SUMIFS(T_MLD[Total m2],T_MLD[Codigo],T_Info[[#This Row],[Codigo]])</f>
        <v>0</v>
      </c>
      <c r="P26" s="49">
        <f>IFERROR(T_Info[[#This Row],[Fe (kg)]]/T_Info[[#This Row],[HA (m3)]],)</f>
        <v>146.90631789642961</v>
      </c>
      <c r="Q26" s="22">
        <f>IFERROR(T_Info[[#This Row],[Fe (kg)]]/T_Info[[#This Row],[Superficie m2]],)</f>
        <v>31.4</v>
      </c>
      <c r="R26" s="22">
        <f>IFERROR(T_Info[[#This Row],[HA (m3)]]/T_Info[[#This Row],[Superficie m2]],)</f>
        <v>0.21374165828686351</v>
      </c>
      <c r="S26" s="22">
        <f>IFERROR(T_Info[[#This Row],[HA (m3)]]/T_Info[[#This Row],[MLD (m2)]],)</f>
        <v>0</v>
      </c>
      <c r="T26" s="50">
        <f>IFERROR(T_Info[[#This Row],[MLD (m2)]]/T_Info[[#This Row],[Superficie m2]],)</f>
        <v>0</v>
      </c>
      <c r="U26" s="49">
        <f>IFERROR(SUMIFS(T_Fe[Fund kg],T_Fe[Codigo],T_Info[[#This Row],[Codigo]])/SUMIFS(T_HA[Fund m3],T_HA[Codigo],T_Info[[#This Row],[Codigo]]),)</f>
        <v>10.273612372037691</v>
      </c>
      <c r="V26" s="22">
        <f>IFERROR(SUMIFS(T_Fe[Grua kg],T_Fe[Codigo],T_Info[[#This Row],[Codigo]])/SUMIFS(T_HA[Grua m3],T_HA[Codigo],T_Info[[#This Row],[Codigo]]),)</f>
        <v>0</v>
      </c>
      <c r="W26" s="22">
        <f>IFERROR(SUMIFS(T_Fe[Muros kg],T_Fe[Codigo],T_Info[[#This Row],[Codigo]])/SUMIFS(T_HA[Muros Int m3],T_HA[Codigo],T_Info[[#This Row],[Codigo]]),)</f>
        <v>0</v>
      </c>
      <c r="X26" s="22">
        <f>IFERROR(SUMIFS(T_Fe[Perimetrales kg],T_Fe[Codigo],T_Info[[#This Row],[Codigo]])/SUMIFS(T_HA[Perimetrales m3],T_HA[Codigo],T_Info[[#This Row],[Codigo]]),)</f>
        <v>0</v>
      </c>
      <c r="Y26" s="22">
        <f>IFERROR(SUMIFS(T_Fe[Vigas kg],T_Fe[Codigo],T_Info[[#This Row],[Codigo]])/SUMIFS(T_HA[Vigas m3],T_HA[Codigo],T_Info[[#This Row],[Codigo]]),)</f>
        <v>199.02422675476393</v>
      </c>
      <c r="Z26" s="50">
        <f>IFERROR(SUMIFS(T_Fe[Losas kg],T_Fe[Codigo],T_Info[[#This Row],[Codigo]])/SUMIFS(T_HA[Losas m3],T_HA[Codigo],T_Info[[#This Row],[Codigo]]),)</f>
        <v>76.991749571279342</v>
      </c>
      <c r="AA26" s="49">
        <f>SUMIFS(T_Fe[Fund kg/m2],T_Fe[Codigo],T_Info[[#This Row],[Codigo]])</f>
        <v>0.3</v>
      </c>
      <c r="AB26" s="22">
        <f>SUMIFS(T_Fe[Muros kg/m2],T_Fe[Codigo],T_Info[[#This Row],[Codigo]])</f>
        <v>14.7</v>
      </c>
      <c r="AC26" s="22">
        <f>SUMIFS(T_Fe[Perimetrales kg/m2],T_Fe[Codigo],T_Info[[#This Row],[Codigo]])</f>
        <v>0</v>
      </c>
      <c r="AD26" s="22">
        <f>SUMIFS(T_Fe[Vigas kg/m2],T_Fe[Codigo],T_Info[[#This Row],[Codigo]])</f>
        <v>3.8</v>
      </c>
      <c r="AE26" s="50">
        <f>SUMIFS(T_Fe[Losas kg/m2],T_Fe[Codigo],T_Info[[#This Row],[Codigo]])</f>
        <v>12.6</v>
      </c>
      <c r="AF26" s="49">
        <f>IFERROR(SUMIFS(T_HA[Fund m3/m2],T_HA[Codigo],T_Info[[#This Row],[Codigo]]),)</f>
        <v>2.9201023859584972E-2</v>
      </c>
      <c r="AG26" s="22">
        <f>IFERROR(SUMIFS(T_HA[Muros Int m3/m2],T_HA[Codigo],T_Info[[#This Row],[Codigo]]),)</f>
        <v>0</v>
      </c>
      <c r="AH26" s="22">
        <f>IFERROR(SUMIFS(T_HA[Perimetrales m3/m2],T_HA[Codigo],T_Info[[#This Row],[Codigo]]),)</f>
        <v>0</v>
      </c>
      <c r="AI26" s="22">
        <f>IFERROR(SUMIFS(T_HA[Vigas m3/m2],T_HA[Codigo],T_Info[[#This Row],[Codigo]]),)</f>
        <v>1.9093152939025505E-2</v>
      </c>
      <c r="AJ26" s="50">
        <f>IFERROR(SUMIFS(T_HA[Losas m3/m2],T_HA[Codigo],T_Info[[#This Row],[Codigo]]),)</f>
        <v>0.163653898893866</v>
      </c>
      <c r="AK26" s="22">
        <f>IFERROR(SUMIFS(T_HA[Fund m3],T_HA[Codigo],T_Info[[#This Row],[Codigo]])/SUMIFS(T_MLD[Fund Lat m2],T_MLD[Codigo],T_Info[[#This Row],[Codigo]]),)</f>
        <v>0</v>
      </c>
      <c r="AL26" s="22">
        <f>IFERROR(SUMIFS(T_HA[Muros m3],T_HA[Codigo],T_Info[[#This Row],[Codigo]])/SUMIFS(T_MLD[Muro m2],T_MLD[Codigo],T_Info[[#This Row],[Codigo]]),)</f>
        <v>0</v>
      </c>
      <c r="AM26" s="22">
        <f>IFERROR(SUMIFS(T_HA[Vigas m3],T_HA[Codigo],T_Info[[#This Row],[Codigo]])/(SUMIFS(T_MLD[Viga Lat m2],T_MLD[Codigo],T_Info[[#This Row],[Codigo]])+SUMIFS(T_MLD[Viga Fondo m2],T_MLD[Codigo],T_Info[[#This Row],[Codigo]])),)</f>
        <v>0</v>
      </c>
      <c r="AN26" s="22">
        <f>IFERROR(SUMIFS(T_HA[Losas m3],T_HA[Codigo],T_Info[[#This Row],[Codigo]])/(SUMIFS(T_MLD[Losa Fondo m2],T_MLD[Codigo],T_Info[[#This Row],[Codigo]])+SUMIFS(T_MLD[Rebalse m2],T_MLD[Codigo],T_Info[[#This Row],[Codigo]])),)</f>
        <v>0</v>
      </c>
      <c r="AO26" s="49">
        <f>IFERROR(SUMIFS(T_MLD[Fund Lat m2],T_MLD[Codigo],T_Info[[#This Row],[Codigo]])/T_Info[[#This Row],[Superficie m2]],)</f>
        <v>0</v>
      </c>
      <c r="AP26" s="22">
        <f>IFERROR(SUMIFS(T_MLD[Muro m2],T_MLD[Codigo],T_Info[[#This Row],[Codigo]])/T_Info[[#This Row],[Superficie m2]],)</f>
        <v>0</v>
      </c>
      <c r="AQ26" s="22">
        <f>IFERROR((SUMIFS(T_MLD[Viga Lat m2],T_MLD[Codigo],T_Info[[#This Row],[Codigo]])+SUMIFS(T_MLD[Viga Fondo m2],T_MLD[Codigo],T_Info[[#This Row],[Codigo]]))/T_Info[[#This Row],[Superficie m2]],)</f>
        <v>0</v>
      </c>
      <c r="AR26" s="50">
        <f>IFERROR((SUMIFS(T_MLD[Losa Fondo m2],T_MLD[Codigo],T_Info[[#This Row],[Codigo]])+SUMIFS(T_MLD[Rebalse m2],T_MLD[Codigo],T_Info[[#This Row],[Codigo]]))/T_Info[[#This Row],[Superficie m2]],)</f>
        <v>0</v>
      </c>
    </row>
    <row r="27" spans="1:44" x14ac:dyDescent="0.25">
      <c r="A27" s="52">
        <v>26</v>
      </c>
      <c r="B27" s="34">
        <v>16046</v>
      </c>
      <c r="C27" s="46" t="s">
        <v>11</v>
      </c>
      <c r="D27" s="6" t="s">
        <v>255</v>
      </c>
      <c r="E27" s="45" t="s">
        <v>85</v>
      </c>
      <c r="F27" s="34">
        <v>2</v>
      </c>
      <c r="G27" s="34">
        <v>11</v>
      </c>
      <c r="H27" s="34">
        <v>2</v>
      </c>
      <c r="I27" s="33">
        <v>16548</v>
      </c>
      <c r="J27" s="30"/>
      <c r="K27" s="53" t="s">
        <v>180</v>
      </c>
      <c r="L27" s="46"/>
      <c r="M27" s="47">
        <f>SUMIFS(T_Fe[Total kg],T_Fe[Codigo],T_Info[[#This Row],[Codigo]])</f>
        <v>884846.60908922937</v>
      </c>
      <c r="N27" s="33">
        <f>SUMIFS(T_HA[Total m3],T_HA[Codigo],T_Info[[#This Row],[Codigo]])</f>
        <v>4271.6827694444437</v>
      </c>
      <c r="O27" s="48">
        <f>SUMIFS(T_MLD[Total m2],T_MLD[Codigo],T_Info[[#This Row],[Codigo]])</f>
        <v>0</v>
      </c>
      <c r="P27" s="49">
        <f>IFERROR(T_Info[[#This Row],[Fe (kg)]]/T_Info[[#This Row],[HA (m3)]],)</f>
        <v>207.14239723478076</v>
      </c>
      <c r="Q27" s="22">
        <f>IFERROR(T_Info[[#This Row],[Fe (kg)]]/T_Info[[#This Row],[Superficie m2]],)</f>
        <v>53.47151372306196</v>
      </c>
      <c r="R27" s="22">
        <f>IFERROR(T_Info[[#This Row],[HA (m3)]]/T_Info[[#This Row],[Superficie m2]],)</f>
        <v>0.25813891524319821</v>
      </c>
      <c r="S27" s="22">
        <f>IFERROR(T_Info[[#This Row],[HA (m3)]]/T_Info[[#This Row],[MLD (m2)]],)</f>
        <v>0</v>
      </c>
      <c r="T27" s="50">
        <f>IFERROR(T_Info[[#This Row],[MLD (m2)]]/T_Info[[#This Row],[Superficie m2]],)</f>
        <v>0</v>
      </c>
      <c r="U27" s="49">
        <f>IFERROR(SUMIFS(T_Fe[Fund kg],T_Fe[Codigo],T_Info[[#This Row],[Codigo]])/SUMIFS(T_HA[Fund m3],T_HA[Codigo],T_Info[[#This Row],[Codigo]]),)</f>
        <v>78.205310444141773</v>
      </c>
      <c r="V27" s="22">
        <f>IFERROR(SUMIFS(T_Fe[Grua kg],T_Fe[Codigo],T_Info[[#This Row],[Codigo]])/SUMIFS(T_HA[Grua m3],T_HA[Codigo],T_Info[[#This Row],[Codigo]]),)</f>
        <v>0</v>
      </c>
      <c r="W27" s="22">
        <f>IFERROR(SUMIFS(T_Fe[Muros kg],T_Fe[Codigo],T_Info[[#This Row],[Codigo]])/SUMIFS(T_HA[Muros Int m3],T_HA[Codigo],T_Info[[#This Row],[Codigo]]),)</f>
        <v>0</v>
      </c>
      <c r="X27" s="22">
        <f>IFERROR(SUMIFS(T_Fe[Perimetrales kg],T_Fe[Codigo],T_Info[[#This Row],[Codigo]])/SUMIFS(T_HA[Perimetrales m3],T_HA[Codigo],T_Info[[#This Row],[Codigo]]),)</f>
        <v>0</v>
      </c>
      <c r="Y27" s="22">
        <f>IFERROR(SUMIFS(T_Fe[Vigas kg],T_Fe[Codigo],T_Info[[#This Row],[Codigo]])/SUMIFS(T_HA[Vigas m3],T_HA[Codigo],T_Info[[#This Row],[Codigo]]),)</f>
        <v>231.74467677374997</v>
      </c>
      <c r="Z27" s="50">
        <f>IFERROR(SUMIFS(T_Fe[Losas kg],T_Fe[Codigo],T_Info[[#This Row],[Codigo]])/SUMIFS(T_HA[Losas m3],T_HA[Codigo],T_Info[[#This Row],[Codigo]]),)</f>
        <v>77.372334284886065</v>
      </c>
      <c r="AA27" s="49">
        <f>SUMIFS(T_Fe[Fund kg/m2],T_Fe[Codigo],T_Info[[#This Row],[Codigo]])</f>
        <v>6.3209815517911299</v>
      </c>
      <c r="AB27" s="22">
        <f>SUMIFS(T_Fe[Muros kg/m2],T_Fe[Codigo],T_Info[[#This Row],[Codigo]])</f>
        <v>30.530511243019752</v>
      </c>
      <c r="AC27" s="22">
        <f>SUMIFS(T_Fe[Perimetrales kg/m2],T_Fe[Codigo],T_Info[[#This Row],[Codigo]])</f>
        <v>0</v>
      </c>
      <c r="AD27" s="22">
        <f>SUMIFS(T_Fe[Vigas kg/m2],T_Fe[Codigo],T_Info[[#This Row],[Codigo]])</f>
        <v>4.6410554679006966</v>
      </c>
      <c r="AE27" s="50">
        <f>SUMIFS(T_Fe[Losas kg/m2],T_Fe[Codigo],T_Info[[#This Row],[Codigo]])</f>
        <v>11.978965460350382</v>
      </c>
      <c r="AF27" s="49">
        <f>IFERROR(SUMIFS(T_HA[Fund m3/m2],T_HA[Codigo],T_Info[[#This Row],[Codigo]]),)</f>
        <v>8.0825477399081455E-2</v>
      </c>
      <c r="AG27" s="22">
        <f>IFERROR(SUMIFS(T_HA[Muros Int m3/m2],T_HA[Codigo],T_Info[[#This Row],[Codigo]]),)</f>
        <v>0</v>
      </c>
      <c r="AH27" s="22">
        <f>IFERROR(SUMIFS(T_HA[Perimetrales m3/m2],T_HA[Codigo],T_Info[[#This Row],[Codigo]]),)</f>
        <v>0</v>
      </c>
      <c r="AI27" s="22">
        <f>IFERROR(SUMIFS(T_HA[Vigas m3/m2],T_HA[Codigo],T_Info[[#This Row],[Codigo]]),)</f>
        <v>2.0026589315929415E-2</v>
      </c>
      <c r="AJ27" s="50">
        <f>IFERROR(SUMIFS(T_HA[Losas m3/m2],T_HA[Codigo],T_Info[[#This Row],[Codigo]]),)</f>
        <v>0.1548223350253807</v>
      </c>
      <c r="AK27" s="22">
        <f>IFERROR(SUMIFS(T_HA[Fund m3],T_HA[Codigo],T_Info[[#This Row],[Codigo]])/SUMIFS(T_MLD[Fund Lat m2],T_MLD[Codigo],T_Info[[#This Row],[Codigo]]),)</f>
        <v>0</v>
      </c>
      <c r="AL27" s="22">
        <f>IFERROR(SUMIFS(T_HA[Muros m3],T_HA[Codigo],T_Info[[#This Row],[Codigo]])/SUMIFS(T_MLD[Muro m2],T_MLD[Codigo],T_Info[[#This Row],[Codigo]]),)</f>
        <v>0</v>
      </c>
      <c r="AM27" s="22">
        <f>IFERROR(SUMIFS(T_HA[Vigas m3],T_HA[Codigo],T_Info[[#This Row],[Codigo]])/(SUMIFS(T_MLD[Viga Lat m2],T_MLD[Codigo],T_Info[[#This Row],[Codigo]])+SUMIFS(T_MLD[Viga Fondo m2],T_MLD[Codigo],T_Info[[#This Row],[Codigo]])),)</f>
        <v>0</v>
      </c>
      <c r="AN27" s="22">
        <f>IFERROR(SUMIFS(T_HA[Losas m3],T_HA[Codigo],T_Info[[#This Row],[Codigo]])/(SUMIFS(T_MLD[Losa Fondo m2],T_MLD[Codigo],T_Info[[#This Row],[Codigo]])+SUMIFS(T_MLD[Rebalse m2],T_MLD[Codigo],T_Info[[#This Row],[Codigo]])),)</f>
        <v>0</v>
      </c>
      <c r="AO27" s="49">
        <f>IFERROR(SUMIFS(T_MLD[Fund Lat m2],T_MLD[Codigo],T_Info[[#This Row],[Codigo]])/T_Info[[#This Row],[Superficie m2]],)</f>
        <v>0</v>
      </c>
      <c r="AP27" s="22">
        <f>IFERROR(SUMIFS(T_MLD[Muro m2],T_MLD[Codigo],T_Info[[#This Row],[Codigo]])/T_Info[[#This Row],[Superficie m2]],)</f>
        <v>0</v>
      </c>
      <c r="AQ27" s="22">
        <f>IFERROR((SUMIFS(T_MLD[Viga Lat m2],T_MLD[Codigo],T_Info[[#This Row],[Codigo]])+SUMIFS(T_MLD[Viga Fondo m2],T_MLD[Codigo],T_Info[[#This Row],[Codigo]]))/T_Info[[#This Row],[Superficie m2]],)</f>
        <v>0</v>
      </c>
      <c r="AR27" s="50">
        <f>IFERROR((SUMIFS(T_MLD[Losa Fondo m2],T_MLD[Codigo],T_Info[[#This Row],[Codigo]])+SUMIFS(T_MLD[Rebalse m2],T_MLD[Codigo],T_Info[[#This Row],[Codigo]]))/T_Info[[#This Row],[Superficie m2]],)</f>
        <v>0</v>
      </c>
    </row>
    <row r="28" spans="1:44" x14ac:dyDescent="0.25">
      <c r="A28" s="52">
        <v>27</v>
      </c>
      <c r="B28" s="34">
        <v>16048</v>
      </c>
      <c r="C28" s="46" t="s">
        <v>21</v>
      </c>
      <c r="D28" s="6" t="s">
        <v>260</v>
      </c>
      <c r="E28" s="45" t="s">
        <v>91</v>
      </c>
      <c r="F28" s="34">
        <v>2</v>
      </c>
      <c r="G28" s="34">
        <v>5</v>
      </c>
      <c r="H28" s="34">
        <v>2</v>
      </c>
      <c r="I28" s="33">
        <v>7269</v>
      </c>
      <c r="J28" s="30"/>
      <c r="K28" s="53"/>
      <c r="L28" s="46"/>
      <c r="M28" s="47">
        <f>SUMIFS(T_Fe[Total kg],T_Fe[Codigo],T_Info[[#This Row],[Codigo]])</f>
        <v>0</v>
      </c>
      <c r="N28" s="33">
        <f>SUMIFS(T_HA[Total m3],T_HA[Codigo],T_Info[[#This Row],[Codigo]])</f>
        <v>0</v>
      </c>
      <c r="O28" s="48">
        <f>SUMIFS(T_MLD[Total m2],T_MLD[Codigo],T_Info[[#This Row],[Codigo]])</f>
        <v>0</v>
      </c>
      <c r="P28" s="49">
        <f>IFERROR(T_Info[[#This Row],[Fe (kg)]]/T_Info[[#This Row],[HA (m3)]],)</f>
        <v>0</v>
      </c>
      <c r="Q28" s="22">
        <f>IFERROR(T_Info[[#This Row],[Fe (kg)]]/T_Info[[#This Row],[Superficie m2]],)</f>
        <v>0</v>
      </c>
      <c r="R28" s="22">
        <f>IFERROR(T_Info[[#This Row],[HA (m3)]]/T_Info[[#This Row],[Superficie m2]],)</f>
        <v>0</v>
      </c>
      <c r="S28" s="22">
        <f>IFERROR(T_Info[[#This Row],[HA (m3)]]/T_Info[[#This Row],[MLD (m2)]],)</f>
        <v>0</v>
      </c>
      <c r="T28" s="50">
        <f>IFERROR(T_Info[[#This Row],[MLD (m2)]]/T_Info[[#This Row],[Superficie m2]],)</f>
        <v>0</v>
      </c>
      <c r="U28" s="49">
        <f>IFERROR(SUMIFS(T_Fe[Fund kg],T_Fe[Codigo],T_Info[[#This Row],[Codigo]])/SUMIFS(T_HA[Fund m3],T_HA[Codigo],T_Info[[#This Row],[Codigo]]),)</f>
        <v>0</v>
      </c>
      <c r="V28" s="22">
        <f>IFERROR(SUMIFS(T_Fe[Grua kg],T_Fe[Codigo],T_Info[[#This Row],[Codigo]])/SUMIFS(T_HA[Grua m3],T_HA[Codigo],T_Info[[#This Row],[Codigo]]),)</f>
        <v>0</v>
      </c>
      <c r="W28" s="22">
        <f>IFERROR(SUMIFS(T_Fe[Muros kg],T_Fe[Codigo],T_Info[[#This Row],[Codigo]])/SUMIFS(T_HA[Muros Int m3],T_HA[Codigo],T_Info[[#This Row],[Codigo]]),)</f>
        <v>0</v>
      </c>
      <c r="X28" s="22">
        <f>IFERROR(SUMIFS(T_Fe[Perimetrales kg],T_Fe[Codigo],T_Info[[#This Row],[Codigo]])/SUMIFS(T_HA[Perimetrales m3],T_HA[Codigo],T_Info[[#This Row],[Codigo]]),)</f>
        <v>0</v>
      </c>
      <c r="Y28" s="22">
        <f>IFERROR(SUMIFS(T_Fe[Vigas kg],T_Fe[Codigo],T_Info[[#This Row],[Codigo]])/SUMIFS(T_HA[Vigas m3],T_HA[Codigo],T_Info[[#This Row],[Codigo]]),)</f>
        <v>0</v>
      </c>
      <c r="Z28" s="50">
        <f>IFERROR(SUMIFS(T_Fe[Losas kg],T_Fe[Codigo],T_Info[[#This Row],[Codigo]])/SUMIFS(T_HA[Losas m3],T_HA[Codigo],T_Info[[#This Row],[Codigo]]),)</f>
        <v>0</v>
      </c>
      <c r="AA28" s="49">
        <f>SUMIFS(T_Fe[Fund kg/m2],T_Fe[Codigo],T_Info[[#This Row],[Codigo]])</f>
        <v>0</v>
      </c>
      <c r="AB28" s="22">
        <f>SUMIFS(T_Fe[Muros kg/m2],T_Fe[Codigo],T_Info[[#This Row],[Codigo]])</f>
        <v>0</v>
      </c>
      <c r="AC28" s="22">
        <f>SUMIFS(T_Fe[Perimetrales kg/m2],T_Fe[Codigo],T_Info[[#This Row],[Codigo]])</f>
        <v>0</v>
      </c>
      <c r="AD28" s="22">
        <f>SUMIFS(T_Fe[Vigas kg/m2],T_Fe[Codigo],T_Info[[#This Row],[Codigo]])</f>
        <v>0</v>
      </c>
      <c r="AE28" s="50">
        <f>SUMIFS(T_Fe[Losas kg/m2],T_Fe[Codigo],T_Info[[#This Row],[Codigo]])</f>
        <v>0</v>
      </c>
      <c r="AF28" s="49">
        <f>IFERROR(SUMIFS(T_HA[Fund m3/m2],T_HA[Codigo],T_Info[[#This Row],[Codigo]]),)</f>
        <v>0</v>
      </c>
      <c r="AG28" s="22">
        <f>IFERROR(SUMIFS(T_HA[Muros Int m3/m2],T_HA[Codigo],T_Info[[#This Row],[Codigo]]),)</f>
        <v>0</v>
      </c>
      <c r="AH28" s="22">
        <f>IFERROR(SUMIFS(T_HA[Perimetrales m3/m2],T_HA[Codigo],T_Info[[#This Row],[Codigo]]),)</f>
        <v>0</v>
      </c>
      <c r="AI28" s="22">
        <f>IFERROR(SUMIFS(T_HA[Vigas m3/m2],T_HA[Codigo],T_Info[[#This Row],[Codigo]]),)</f>
        <v>0</v>
      </c>
      <c r="AJ28" s="50">
        <f>IFERROR(SUMIFS(T_HA[Losas m3/m2],T_HA[Codigo],T_Info[[#This Row],[Codigo]]),)</f>
        <v>0</v>
      </c>
      <c r="AK28" s="22">
        <f>IFERROR(SUMIFS(T_HA[Fund m3],T_HA[Codigo],T_Info[[#This Row],[Codigo]])/SUMIFS(T_MLD[Fund Lat m2],T_MLD[Codigo],T_Info[[#This Row],[Codigo]]),)</f>
        <v>0</v>
      </c>
      <c r="AL28" s="22">
        <f>IFERROR(SUMIFS(T_HA[Muros m3],T_HA[Codigo],T_Info[[#This Row],[Codigo]])/SUMIFS(T_MLD[Muro m2],T_MLD[Codigo],T_Info[[#This Row],[Codigo]]),)</f>
        <v>0</v>
      </c>
      <c r="AM28" s="22">
        <f>IFERROR(SUMIFS(T_HA[Vigas m3],T_HA[Codigo],T_Info[[#This Row],[Codigo]])/(SUMIFS(T_MLD[Viga Lat m2],T_MLD[Codigo],T_Info[[#This Row],[Codigo]])+SUMIFS(T_MLD[Viga Fondo m2],T_MLD[Codigo],T_Info[[#This Row],[Codigo]])),)</f>
        <v>0</v>
      </c>
      <c r="AN28" s="22">
        <f>IFERROR(SUMIFS(T_HA[Losas m3],T_HA[Codigo],T_Info[[#This Row],[Codigo]])/(SUMIFS(T_MLD[Losa Fondo m2],T_MLD[Codigo],T_Info[[#This Row],[Codigo]])+SUMIFS(T_MLD[Rebalse m2],T_MLD[Codigo],T_Info[[#This Row],[Codigo]])),)</f>
        <v>0</v>
      </c>
      <c r="AO28" s="49">
        <f>IFERROR(SUMIFS(T_MLD[Fund Lat m2],T_MLD[Codigo],T_Info[[#This Row],[Codigo]])/T_Info[[#This Row],[Superficie m2]],)</f>
        <v>0</v>
      </c>
      <c r="AP28" s="22">
        <f>IFERROR(SUMIFS(T_MLD[Muro m2],T_MLD[Codigo],T_Info[[#This Row],[Codigo]])/T_Info[[#This Row],[Superficie m2]],)</f>
        <v>0</v>
      </c>
      <c r="AQ28" s="22">
        <f>IFERROR((SUMIFS(T_MLD[Viga Lat m2],T_MLD[Codigo],T_Info[[#This Row],[Codigo]])+SUMIFS(T_MLD[Viga Fondo m2],T_MLD[Codigo],T_Info[[#This Row],[Codigo]]))/T_Info[[#This Row],[Superficie m2]],)</f>
        <v>0</v>
      </c>
      <c r="AR28" s="50">
        <f>IFERROR((SUMIFS(T_MLD[Losa Fondo m2],T_MLD[Codigo],T_Info[[#This Row],[Codigo]])+SUMIFS(T_MLD[Rebalse m2],T_MLD[Codigo],T_Info[[#This Row],[Codigo]]))/T_Info[[#This Row],[Superficie m2]],)</f>
        <v>0</v>
      </c>
    </row>
    <row r="29" spans="1:44" x14ac:dyDescent="0.25">
      <c r="A29" s="52">
        <v>28</v>
      </c>
      <c r="B29" s="34">
        <v>16056</v>
      </c>
      <c r="C29" s="46" t="s">
        <v>20</v>
      </c>
      <c r="D29" s="6" t="s">
        <v>257</v>
      </c>
      <c r="E29" s="45" t="s">
        <v>80</v>
      </c>
      <c r="F29" s="34">
        <v>2</v>
      </c>
      <c r="G29" s="34">
        <v>11</v>
      </c>
      <c r="H29" s="34">
        <v>2</v>
      </c>
      <c r="I29" s="33">
        <v>11313.83</v>
      </c>
      <c r="J29" s="30"/>
      <c r="K29" s="53"/>
      <c r="L29" s="46"/>
      <c r="M29" s="47">
        <f>SUMIFS(T_Fe[Total kg],T_Fe[Codigo],T_Info[[#This Row],[Codigo]])</f>
        <v>0</v>
      </c>
      <c r="N29" s="33">
        <f>SUMIFS(T_HA[Total m3],T_HA[Codigo],T_Info[[#This Row],[Codigo]])</f>
        <v>0</v>
      </c>
      <c r="O29" s="48">
        <f>SUMIFS(T_MLD[Total m2],T_MLD[Codigo],T_Info[[#This Row],[Codigo]])</f>
        <v>0</v>
      </c>
      <c r="P29" s="49">
        <f>IFERROR(T_Info[[#This Row],[Fe (kg)]]/T_Info[[#This Row],[HA (m3)]],)</f>
        <v>0</v>
      </c>
      <c r="Q29" s="22">
        <f>IFERROR(T_Info[[#This Row],[Fe (kg)]]/T_Info[[#This Row],[Superficie m2]],)</f>
        <v>0</v>
      </c>
      <c r="R29" s="22">
        <f>IFERROR(T_Info[[#This Row],[HA (m3)]]/T_Info[[#This Row],[Superficie m2]],)</f>
        <v>0</v>
      </c>
      <c r="S29" s="22">
        <f>IFERROR(T_Info[[#This Row],[HA (m3)]]/T_Info[[#This Row],[MLD (m2)]],)</f>
        <v>0</v>
      </c>
      <c r="T29" s="50">
        <f>IFERROR(T_Info[[#This Row],[MLD (m2)]]/T_Info[[#This Row],[Superficie m2]],)</f>
        <v>0</v>
      </c>
      <c r="U29" s="49">
        <f>IFERROR(SUMIFS(T_Fe[Fund kg],T_Fe[Codigo],T_Info[[#This Row],[Codigo]])/SUMIFS(T_HA[Fund m3],T_HA[Codigo],T_Info[[#This Row],[Codigo]]),)</f>
        <v>0</v>
      </c>
      <c r="V29" s="22">
        <f>IFERROR(SUMIFS(T_Fe[Grua kg],T_Fe[Codigo],T_Info[[#This Row],[Codigo]])/SUMIFS(T_HA[Grua m3],T_HA[Codigo],T_Info[[#This Row],[Codigo]]),)</f>
        <v>0</v>
      </c>
      <c r="W29" s="22">
        <f>IFERROR(SUMIFS(T_Fe[Muros kg],T_Fe[Codigo],T_Info[[#This Row],[Codigo]])/SUMIFS(T_HA[Muros Int m3],T_HA[Codigo],T_Info[[#This Row],[Codigo]]),)</f>
        <v>0</v>
      </c>
      <c r="X29" s="22">
        <f>IFERROR(SUMIFS(T_Fe[Perimetrales kg],T_Fe[Codigo],T_Info[[#This Row],[Codigo]])/SUMIFS(T_HA[Perimetrales m3],T_HA[Codigo],T_Info[[#This Row],[Codigo]]),)</f>
        <v>0</v>
      </c>
      <c r="Y29" s="22">
        <f>IFERROR(SUMIFS(T_Fe[Vigas kg],T_Fe[Codigo],T_Info[[#This Row],[Codigo]])/SUMIFS(T_HA[Vigas m3],T_HA[Codigo],T_Info[[#This Row],[Codigo]]),)</f>
        <v>0</v>
      </c>
      <c r="Z29" s="50">
        <f>IFERROR(SUMIFS(T_Fe[Losas kg],T_Fe[Codigo],T_Info[[#This Row],[Codigo]])/SUMIFS(T_HA[Losas m3],T_HA[Codigo],T_Info[[#This Row],[Codigo]]),)</f>
        <v>0</v>
      </c>
      <c r="AA29" s="49">
        <f>SUMIFS(T_Fe[Fund kg/m2],T_Fe[Codigo],T_Info[[#This Row],[Codigo]])</f>
        <v>0</v>
      </c>
      <c r="AB29" s="22">
        <f>SUMIFS(T_Fe[Muros kg/m2],T_Fe[Codigo],T_Info[[#This Row],[Codigo]])</f>
        <v>0</v>
      </c>
      <c r="AC29" s="22">
        <f>SUMIFS(T_Fe[Perimetrales kg/m2],T_Fe[Codigo],T_Info[[#This Row],[Codigo]])</f>
        <v>0</v>
      </c>
      <c r="AD29" s="22">
        <f>SUMIFS(T_Fe[Vigas kg/m2],T_Fe[Codigo],T_Info[[#This Row],[Codigo]])</f>
        <v>0</v>
      </c>
      <c r="AE29" s="50">
        <f>SUMIFS(T_Fe[Losas kg/m2],T_Fe[Codigo],T_Info[[#This Row],[Codigo]])</f>
        <v>0</v>
      </c>
      <c r="AF29" s="49">
        <f>IFERROR(SUMIFS(T_HA[Fund m3/m2],T_HA[Codigo],T_Info[[#This Row],[Codigo]]),)</f>
        <v>0</v>
      </c>
      <c r="AG29" s="22">
        <f>IFERROR(SUMIFS(T_HA[Muros Int m3/m2],T_HA[Codigo],T_Info[[#This Row],[Codigo]]),)</f>
        <v>0</v>
      </c>
      <c r="AH29" s="22">
        <f>IFERROR(SUMIFS(T_HA[Perimetrales m3/m2],T_HA[Codigo],T_Info[[#This Row],[Codigo]]),)</f>
        <v>0</v>
      </c>
      <c r="AI29" s="22">
        <f>IFERROR(SUMIFS(T_HA[Vigas m3/m2],T_HA[Codigo],T_Info[[#This Row],[Codigo]]),)</f>
        <v>0</v>
      </c>
      <c r="AJ29" s="50">
        <f>IFERROR(SUMIFS(T_HA[Losas m3/m2],T_HA[Codigo],T_Info[[#This Row],[Codigo]]),)</f>
        <v>0</v>
      </c>
      <c r="AK29" s="22">
        <f>IFERROR(SUMIFS(T_HA[Fund m3],T_HA[Codigo],T_Info[[#This Row],[Codigo]])/SUMIFS(T_MLD[Fund Lat m2],T_MLD[Codigo],T_Info[[#This Row],[Codigo]]),)</f>
        <v>0</v>
      </c>
      <c r="AL29" s="22">
        <f>IFERROR(SUMIFS(T_HA[Muros m3],T_HA[Codigo],T_Info[[#This Row],[Codigo]])/SUMIFS(T_MLD[Muro m2],T_MLD[Codigo],T_Info[[#This Row],[Codigo]]),)</f>
        <v>0</v>
      </c>
      <c r="AM29" s="22">
        <f>IFERROR(SUMIFS(T_HA[Vigas m3],T_HA[Codigo],T_Info[[#This Row],[Codigo]])/(SUMIFS(T_MLD[Viga Lat m2],T_MLD[Codigo],T_Info[[#This Row],[Codigo]])+SUMIFS(T_MLD[Viga Fondo m2],T_MLD[Codigo],T_Info[[#This Row],[Codigo]])),)</f>
        <v>0</v>
      </c>
      <c r="AN29" s="22">
        <f>IFERROR(SUMIFS(T_HA[Losas m3],T_HA[Codigo],T_Info[[#This Row],[Codigo]])/(SUMIFS(T_MLD[Losa Fondo m2],T_MLD[Codigo],T_Info[[#This Row],[Codigo]])+SUMIFS(T_MLD[Rebalse m2],T_MLD[Codigo],T_Info[[#This Row],[Codigo]])),)</f>
        <v>0</v>
      </c>
      <c r="AO29" s="49">
        <f>IFERROR(SUMIFS(T_MLD[Fund Lat m2],T_MLD[Codigo],T_Info[[#This Row],[Codigo]])/T_Info[[#This Row],[Superficie m2]],)</f>
        <v>0</v>
      </c>
      <c r="AP29" s="22">
        <f>IFERROR(SUMIFS(T_MLD[Muro m2],T_MLD[Codigo],T_Info[[#This Row],[Codigo]])/T_Info[[#This Row],[Superficie m2]],)</f>
        <v>0</v>
      </c>
      <c r="AQ29" s="22">
        <f>IFERROR((SUMIFS(T_MLD[Viga Lat m2],T_MLD[Codigo],T_Info[[#This Row],[Codigo]])+SUMIFS(T_MLD[Viga Fondo m2],T_MLD[Codigo],T_Info[[#This Row],[Codigo]]))/T_Info[[#This Row],[Superficie m2]],)</f>
        <v>0</v>
      </c>
      <c r="AR29" s="50">
        <f>IFERROR((SUMIFS(T_MLD[Losa Fondo m2],T_MLD[Codigo],T_Info[[#This Row],[Codigo]])+SUMIFS(T_MLD[Rebalse m2],T_MLD[Codigo],T_Info[[#This Row],[Codigo]]))/T_Info[[#This Row],[Superficie m2]],)</f>
        <v>0</v>
      </c>
    </row>
    <row r="30" spans="1:44" x14ac:dyDescent="0.25">
      <c r="A30" s="52">
        <v>29</v>
      </c>
      <c r="B30" s="34">
        <v>16061</v>
      </c>
      <c r="C30" s="46" t="s">
        <v>12</v>
      </c>
      <c r="D30" s="6" t="s">
        <v>255</v>
      </c>
      <c r="E30" s="45" t="s">
        <v>80</v>
      </c>
      <c r="F30" s="34">
        <v>2</v>
      </c>
      <c r="G30" s="34">
        <v>11</v>
      </c>
      <c r="H30" s="34">
        <v>3</v>
      </c>
      <c r="I30" s="33">
        <v>14208</v>
      </c>
      <c r="J30" s="30"/>
      <c r="K30" s="53"/>
      <c r="L30" s="46"/>
      <c r="M30" s="47">
        <f>SUMIFS(T_Fe[Total kg],T_Fe[Codigo],T_Info[[#This Row],[Codigo]])</f>
        <v>388039.40013356745</v>
      </c>
      <c r="N30" s="33">
        <f>SUMIFS(T_HA[Total m3],T_HA[Codigo],T_Info[[#This Row],[Codigo]])</f>
        <v>2789.3200000000006</v>
      </c>
      <c r="O30" s="48">
        <f>SUMIFS(T_MLD[Total m2],T_MLD[Codigo],T_Info[[#This Row],[Codigo]])</f>
        <v>33897.110000000008</v>
      </c>
      <c r="P30" s="49">
        <f>IFERROR(T_Info[[#This Row],[Fe (kg)]]/T_Info[[#This Row],[HA (m3)]],)</f>
        <v>139.11612871006818</v>
      </c>
      <c r="Q30" s="22">
        <f>IFERROR(T_Info[[#This Row],[Fe (kg)]]/T_Info[[#This Row],[Superficie m2]],)</f>
        <v>27.311331653545007</v>
      </c>
      <c r="R30" s="22">
        <f>IFERROR(T_Info[[#This Row],[HA (m3)]]/T_Info[[#This Row],[Superficie m2]],)</f>
        <v>0.19632038288288292</v>
      </c>
      <c r="S30" s="22">
        <f>IFERROR(T_Info[[#This Row],[HA (m3)]]/T_Info[[#This Row],[MLD (m2)]],)</f>
        <v>8.22878410578365E-2</v>
      </c>
      <c r="T30" s="50">
        <f>IFERROR(T_Info[[#This Row],[MLD (m2)]]/T_Info[[#This Row],[Superficie m2]],)</f>
        <v>2.3857763231981988</v>
      </c>
      <c r="U30" s="49">
        <f>IFERROR(SUMIFS(T_Fe[Fund kg],T_Fe[Codigo],T_Info[[#This Row],[Codigo]])/SUMIFS(T_HA[Fund m3],T_HA[Codigo],T_Info[[#This Row],[Codigo]]),)</f>
        <v>28.105189667209682</v>
      </c>
      <c r="V30" s="22">
        <f>IFERROR(SUMIFS(T_Fe[Grua kg],T_Fe[Codigo],T_Info[[#This Row],[Codigo]])/SUMIFS(T_HA[Grua m3],T_HA[Codigo],T_Info[[#This Row],[Codigo]]),)</f>
        <v>0</v>
      </c>
      <c r="W30" s="22">
        <f>IFERROR(SUMIFS(T_Fe[Muros kg],T_Fe[Codigo],T_Info[[#This Row],[Codigo]])/SUMIFS(T_HA[Muros Int m3],T_HA[Codigo],T_Info[[#This Row],[Codigo]]),)</f>
        <v>0</v>
      </c>
      <c r="X30" s="22">
        <f>IFERROR(SUMIFS(T_Fe[Perimetrales kg],T_Fe[Codigo],T_Info[[#This Row],[Codigo]])/SUMIFS(T_HA[Perimetrales m3],T_HA[Codigo],T_Info[[#This Row],[Codigo]]),)</f>
        <v>0</v>
      </c>
      <c r="Y30" s="22">
        <f>IFERROR(SUMIFS(T_Fe[Vigas kg],T_Fe[Codigo],T_Info[[#This Row],[Codigo]])/SUMIFS(T_HA[Vigas m3],T_HA[Codigo],T_Info[[#This Row],[Codigo]]),)</f>
        <v>151.78440967675238</v>
      </c>
      <c r="Z30" s="50">
        <f>IFERROR(SUMIFS(T_Fe[Losas kg],T_Fe[Codigo],T_Info[[#This Row],[Codigo]])/SUMIFS(T_HA[Losas m3],T_HA[Codigo],T_Info[[#This Row],[Codigo]]),)</f>
        <v>79.859049741397513</v>
      </c>
      <c r="AA30" s="49">
        <f>SUMIFS(T_Fe[Fund kg/m2],T_Fe[Codigo],T_Info[[#This Row],[Codigo]])</f>
        <v>0.51</v>
      </c>
      <c r="AB30" s="22">
        <f>SUMIFS(T_Fe[Muros kg/m2],T_Fe[Codigo],T_Info[[#This Row],[Codigo]])</f>
        <v>11.139999999999999</v>
      </c>
      <c r="AC30" s="22">
        <f>SUMIFS(T_Fe[Perimetrales kg/m2],T_Fe[Codigo],T_Info[[#This Row],[Codigo]])</f>
        <v>0</v>
      </c>
      <c r="AD30" s="22">
        <f>SUMIFS(T_Fe[Vigas kg/m2],T_Fe[Codigo],T_Info[[#This Row],[Codigo]])</f>
        <v>3.1</v>
      </c>
      <c r="AE30" s="50">
        <f>SUMIFS(T_Fe[Losas kg/m2],T_Fe[Codigo],T_Info[[#This Row],[Codigo]])</f>
        <v>12.561331653545007</v>
      </c>
      <c r="AF30" s="49">
        <f>IFERROR(SUMIFS(T_HA[Fund m3/m2],T_HA[Codigo],T_Info[[#This Row],[Codigo]]),)</f>
        <v>1.8146114864864865E-2</v>
      </c>
      <c r="AG30" s="22">
        <f>IFERROR(SUMIFS(T_HA[Muros Int m3/m2],T_HA[Codigo],T_Info[[#This Row],[Codigo]]),)</f>
        <v>0</v>
      </c>
      <c r="AH30" s="22">
        <f>IFERROR(SUMIFS(T_HA[Perimetrales m3/m2],T_HA[Codigo],T_Info[[#This Row],[Codigo]]),)</f>
        <v>0</v>
      </c>
      <c r="AI30" s="22">
        <f>IFERROR(SUMIFS(T_HA[Vigas m3/m2],T_HA[Codigo],T_Info[[#This Row],[Codigo]]),)</f>
        <v>2.0423704954954956E-2</v>
      </c>
      <c r="AJ30" s="50">
        <f>IFERROR(SUMIFS(T_HA[Losas m3/m2],T_HA[Codigo],T_Info[[#This Row],[Codigo]]),)</f>
        <v>0.15729377815315321</v>
      </c>
      <c r="AK30" s="22">
        <f>IFERROR(SUMIFS(T_HA[Fund m3],T_HA[Codigo],T_Info[[#This Row],[Codigo]])/SUMIFS(T_MLD[Fund Lat m2],T_MLD[Codigo],T_Info[[#This Row],[Codigo]]),)</f>
        <v>0</v>
      </c>
      <c r="AL30" s="22">
        <f>IFERROR(SUMIFS(T_HA[Muros m3],T_HA[Codigo],T_Info[[#This Row],[Codigo]])/SUMIFS(T_MLD[Muro m2],T_MLD[Codigo],T_Info[[#This Row],[Codigo]]),)</f>
        <v>0</v>
      </c>
      <c r="AM30" s="22">
        <f>IFERROR(SUMIFS(T_HA[Vigas m3],T_HA[Codigo],T_Info[[#This Row],[Codigo]])/(SUMIFS(T_MLD[Viga Lat m2],T_MLD[Codigo],T_Info[[#This Row],[Codigo]])+SUMIFS(T_MLD[Viga Fondo m2],T_MLD[Codigo],T_Info[[#This Row],[Codigo]])),)</f>
        <v>0</v>
      </c>
      <c r="AN30" s="22">
        <f>IFERROR(SUMIFS(T_HA[Losas m3],T_HA[Codigo],T_Info[[#This Row],[Codigo]])/(SUMIFS(T_MLD[Losa Fondo m2],T_MLD[Codigo],T_Info[[#This Row],[Codigo]])+SUMIFS(T_MLD[Rebalse m2],T_MLD[Codigo],T_Info[[#This Row],[Codigo]])),)</f>
        <v>0</v>
      </c>
      <c r="AO30" s="49">
        <f>IFERROR(SUMIFS(T_MLD[Fund Lat m2],T_MLD[Codigo],T_Info[[#This Row],[Codigo]])/T_Info[[#This Row],[Superficie m2]],)</f>
        <v>0</v>
      </c>
      <c r="AP30" s="22">
        <f>IFERROR(SUMIFS(T_MLD[Muro m2],T_MLD[Codigo],T_Info[[#This Row],[Codigo]])/T_Info[[#This Row],[Superficie m2]],)</f>
        <v>0</v>
      </c>
      <c r="AQ30" s="22">
        <f>IFERROR((SUMIFS(T_MLD[Viga Lat m2],T_MLD[Codigo],T_Info[[#This Row],[Codigo]])+SUMIFS(T_MLD[Viga Fondo m2],T_MLD[Codigo],T_Info[[#This Row],[Codigo]]))/T_Info[[#This Row],[Superficie m2]],)</f>
        <v>0</v>
      </c>
      <c r="AR30" s="50">
        <f>IFERROR((SUMIFS(T_MLD[Losa Fondo m2],T_MLD[Codigo],T_Info[[#This Row],[Codigo]])+SUMIFS(T_MLD[Rebalse m2],T_MLD[Codigo],T_Info[[#This Row],[Codigo]]))/T_Info[[#This Row],[Superficie m2]],)</f>
        <v>0</v>
      </c>
    </row>
    <row r="31" spans="1:44" x14ac:dyDescent="0.25">
      <c r="A31" s="52">
        <v>30</v>
      </c>
      <c r="B31" s="34">
        <v>16089</v>
      </c>
      <c r="C31" s="46" t="s">
        <v>13</v>
      </c>
      <c r="D31" s="6" t="s">
        <v>255</v>
      </c>
      <c r="E31" s="45" t="s">
        <v>80</v>
      </c>
      <c r="F31" s="34">
        <v>2</v>
      </c>
      <c r="G31" s="34">
        <v>8</v>
      </c>
      <c r="H31" s="34">
        <v>2</v>
      </c>
      <c r="I31" s="33">
        <v>16183.37</v>
      </c>
      <c r="J31" s="30"/>
      <c r="K31" s="53"/>
      <c r="L31" s="46"/>
      <c r="M31" s="47">
        <f>SUMIFS(T_Fe[Total kg],T_Fe[Codigo],T_Info[[#This Row],[Codigo]])</f>
        <v>448604.47050000005</v>
      </c>
      <c r="N31" s="33">
        <f>SUMIFS(T_HA[Total m3],T_HA[Codigo],T_Info[[#This Row],[Codigo]])</f>
        <v>3237.23</v>
      </c>
      <c r="O31" s="48">
        <f>SUMIFS(T_MLD[Total m2],T_MLD[Codigo],T_Info[[#This Row],[Codigo]])</f>
        <v>0</v>
      </c>
      <c r="P31" s="49">
        <f>IFERROR(T_Info[[#This Row],[Fe (kg)]]/T_Info[[#This Row],[HA (m3)]],)</f>
        <v>138.57664438424209</v>
      </c>
      <c r="Q31" s="22">
        <f>IFERROR(T_Info[[#This Row],[Fe (kg)]]/T_Info[[#This Row],[Superficie m2]],)</f>
        <v>27.720089851495704</v>
      </c>
      <c r="R31" s="22">
        <f>IFERROR(T_Info[[#This Row],[HA (m3)]]/T_Info[[#This Row],[Superficie m2]],)</f>
        <v>0.20003435625583546</v>
      </c>
      <c r="S31" s="22">
        <f>IFERROR(T_Info[[#This Row],[HA (m3)]]/T_Info[[#This Row],[MLD (m2)]],)</f>
        <v>0</v>
      </c>
      <c r="T31" s="50">
        <f>IFERROR(T_Info[[#This Row],[MLD (m2)]]/T_Info[[#This Row],[Superficie m2]],)</f>
        <v>0</v>
      </c>
      <c r="U31" s="49">
        <f>IFERROR(SUMIFS(T_Fe[Fund kg],T_Fe[Codigo],T_Info[[#This Row],[Codigo]])/SUMIFS(T_HA[Fund m3],T_HA[Codigo],T_Info[[#This Row],[Codigo]]),)</f>
        <v>20.913709681673129</v>
      </c>
      <c r="V31" s="22">
        <f>IFERROR(SUMIFS(T_Fe[Grua kg],T_Fe[Codigo],T_Info[[#This Row],[Codigo]])/SUMIFS(T_HA[Grua m3],T_HA[Codigo],T_Info[[#This Row],[Codigo]]),)</f>
        <v>0</v>
      </c>
      <c r="W31" s="22">
        <f>IFERROR(SUMIFS(T_Fe[Muros kg],T_Fe[Codigo],T_Info[[#This Row],[Codigo]])/SUMIFS(T_HA[Muros Int m3],T_HA[Codigo],T_Info[[#This Row],[Codigo]]),)</f>
        <v>0</v>
      </c>
      <c r="X31" s="22">
        <f>IFERROR(SUMIFS(T_Fe[Perimetrales kg],T_Fe[Codigo],T_Info[[#This Row],[Codigo]])/SUMIFS(T_HA[Perimetrales m3],T_HA[Codigo],T_Info[[#This Row],[Codigo]]),)</f>
        <v>0</v>
      </c>
      <c r="Y31" s="22">
        <f>IFERROR(SUMIFS(T_Fe[Vigas kg],T_Fe[Codigo],T_Info[[#This Row],[Codigo]])/SUMIFS(T_HA[Vigas m3],T_HA[Codigo],T_Info[[#This Row],[Codigo]]),)</f>
        <v>152.51469204511724</v>
      </c>
      <c r="Z31" s="50">
        <f>IFERROR(SUMIFS(T_Fe[Losas kg],T_Fe[Codigo],T_Info[[#This Row],[Codigo]])/SUMIFS(T_HA[Losas m3],T_HA[Codigo],T_Info[[#This Row],[Codigo]]),)</f>
        <v>81.449486252907136</v>
      </c>
      <c r="AA31" s="49">
        <f>SUMIFS(T_Fe[Fund kg/m2],T_Fe[Codigo],T_Info[[#This Row],[Codigo]])</f>
        <v>0.49</v>
      </c>
      <c r="AB31" s="22">
        <f>SUMIFS(T_Fe[Muros kg/m2],T_Fe[Codigo],T_Info[[#This Row],[Codigo]])</f>
        <v>11.15</v>
      </c>
      <c r="AC31" s="22">
        <f>SUMIFS(T_Fe[Perimetrales kg/m2],T_Fe[Codigo],T_Info[[#This Row],[Codigo]])</f>
        <v>0</v>
      </c>
      <c r="AD31" s="22">
        <f>SUMIFS(T_Fe[Vigas kg/m2],T_Fe[Codigo],T_Info[[#This Row],[Codigo]])</f>
        <v>3.81</v>
      </c>
      <c r="AE31" s="50">
        <f>SUMIFS(T_Fe[Losas kg/m2],T_Fe[Codigo],T_Info[[#This Row],[Codigo]])</f>
        <v>12.270089851495705</v>
      </c>
      <c r="AF31" s="49">
        <f>IFERROR(SUMIFS(T_HA[Fund m3/m2],T_HA[Codigo],T_Info[[#This Row],[Codigo]]),)</f>
        <v>2.3429607059592655E-2</v>
      </c>
      <c r="AG31" s="22">
        <f>IFERROR(SUMIFS(T_HA[Muros Int m3/m2],T_HA[Codigo],T_Info[[#This Row],[Codigo]]),)</f>
        <v>0</v>
      </c>
      <c r="AH31" s="22">
        <f>IFERROR(SUMIFS(T_HA[Perimetrales m3/m2],T_HA[Codigo],T_Info[[#This Row],[Codigo]]),)</f>
        <v>0</v>
      </c>
      <c r="AI31" s="22">
        <f>IFERROR(SUMIFS(T_HA[Vigas m3/m2],T_HA[Codigo],T_Info[[#This Row],[Codigo]]),)</f>
        <v>2.4981199836622409E-2</v>
      </c>
      <c r="AJ31" s="50">
        <f>IFERROR(SUMIFS(T_HA[Losas m3/m2],T_HA[Codigo],T_Info[[#This Row],[Codigo]]),)</f>
        <v>0.15064662057408315</v>
      </c>
      <c r="AK31" s="22">
        <f>IFERROR(SUMIFS(T_HA[Fund m3],T_HA[Codigo],T_Info[[#This Row],[Codigo]])/SUMIFS(T_MLD[Fund Lat m2],T_MLD[Codigo],T_Info[[#This Row],[Codigo]]),)</f>
        <v>0</v>
      </c>
      <c r="AL31" s="22">
        <f>IFERROR(SUMIFS(T_HA[Muros m3],T_HA[Codigo],T_Info[[#This Row],[Codigo]])/SUMIFS(T_MLD[Muro m2],T_MLD[Codigo],T_Info[[#This Row],[Codigo]]),)</f>
        <v>0</v>
      </c>
      <c r="AM31" s="22">
        <f>IFERROR(SUMIFS(T_HA[Vigas m3],T_HA[Codigo],T_Info[[#This Row],[Codigo]])/(SUMIFS(T_MLD[Viga Lat m2],T_MLD[Codigo],T_Info[[#This Row],[Codigo]])+SUMIFS(T_MLD[Viga Fondo m2],T_MLD[Codigo],T_Info[[#This Row],[Codigo]])),)</f>
        <v>0</v>
      </c>
      <c r="AN31" s="22">
        <f>IFERROR(SUMIFS(T_HA[Losas m3],T_HA[Codigo],T_Info[[#This Row],[Codigo]])/(SUMIFS(T_MLD[Losa Fondo m2],T_MLD[Codigo],T_Info[[#This Row],[Codigo]])+SUMIFS(T_MLD[Rebalse m2],T_MLD[Codigo],T_Info[[#This Row],[Codigo]])),)</f>
        <v>0</v>
      </c>
      <c r="AO31" s="49">
        <f>IFERROR(SUMIFS(T_MLD[Fund Lat m2],T_MLD[Codigo],T_Info[[#This Row],[Codigo]])/T_Info[[#This Row],[Superficie m2]],)</f>
        <v>0</v>
      </c>
      <c r="AP31" s="22">
        <f>IFERROR(SUMIFS(T_MLD[Muro m2],T_MLD[Codigo],T_Info[[#This Row],[Codigo]])/T_Info[[#This Row],[Superficie m2]],)</f>
        <v>0</v>
      </c>
      <c r="AQ31" s="22">
        <f>IFERROR((SUMIFS(T_MLD[Viga Lat m2],T_MLD[Codigo],T_Info[[#This Row],[Codigo]])+SUMIFS(T_MLD[Viga Fondo m2],T_MLD[Codigo],T_Info[[#This Row],[Codigo]]))/T_Info[[#This Row],[Superficie m2]],)</f>
        <v>0</v>
      </c>
      <c r="AR31" s="50">
        <f>IFERROR((SUMIFS(T_MLD[Losa Fondo m2],T_MLD[Codigo],T_Info[[#This Row],[Codigo]])+SUMIFS(T_MLD[Rebalse m2],T_MLD[Codigo],T_Info[[#This Row],[Codigo]]))/T_Info[[#This Row],[Superficie m2]],)</f>
        <v>0</v>
      </c>
    </row>
    <row r="32" spans="1:44" x14ac:dyDescent="0.25">
      <c r="A32" s="52">
        <v>31</v>
      </c>
      <c r="B32" s="34">
        <v>17031</v>
      </c>
      <c r="C32" s="46" t="s">
        <v>14</v>
      </c>
      <c r="D32" s="6" t="s">
        <v>255</v>
      </c>
      <c r="E32" s="45" t="s">
        <v>85</v>
      </c>
      <c r="F32" s="34">
        <v>2</v>
      </c>
      <c r="G32" s="34">
        <v>7</v>
      </c>
      <c r="H32" s="34">
        <v>2</v>
      </c>
      <c r="I32" s="33">
        <v>18825.400000000001</v>
      </c>
      <c r="J32" s="30"/>
      <c r="K32" s="53"/>
      <c r="L32" s="46"/>
      <c r="M32" s="47">
        <f>SUMIFS(T_Fe[Total kg],T_Fe[Codigo],T_Info[[#This Row],[Codigo]])</f>
        <v>652504.40092004533</v>
      </c>
      <c r="N32" s="33">
        <f>SUMIFS(T_HA[Total m3],T_HA[Codigo],T_Info[[#This Row],[Codigo]])</f>
        <v>3797.4100000000008</v>
      </c>
      <c r="O32" s="48">
        <f>SUMIFS(T_MLD[Total m2],T_MLD[Codigo],T_Info[[#This Row],[Codigo]])</f>
        <v>44697.470000000023</v>
      </c>
      <c r="P32" s="49">
        <f>IFERROR(T_Info[[#This Row],[Fe (kg)]]/T_Info[[#This Row],[HA (m3)]],)</f>
        <v>171.8287993448285</v>
      </c>
      <c r="Q32" s="22">
        <f>IFERROR(T_Info[[#This Row],[Fe (kg)]]/T_Info[[#This Row],[Superficie m2]],)</f>
        <v>34.660851876722155</v>
      </c>
      <c r="R32" s="22">
        <f>IFERROR(T_Info[[#This Row],[HA (m3)]]/T_Info[[#This Row],[Superficie m2]],)</f>
        <v>0.20171736058729167</v>
      </c>
      <c r="S32" s="22">
        <f>IFERROR(T_Info[[#This Row],[HA (m3)]]/T_Info[[#This Row],[MLD (m2)]],)</f>
        <v>8.4958052435629997E-2</v>
      </c>
      <c r="T32" s="50">
        <f>IFERROR(T_Info[[#This Row],[MLD (m2)]]/T_Info[[#This Row],[Superficie m2]],)</f>
        <v>2.374317145983619</v>
      </c>
      <c r="U32" s="49">
        <f>IFERROR(SUMIFS(T_Fe[Fund kg],T_Fe[Codigo],T_Info[[#This Row],[Codigo]])/SUMIFS(T_HA[Fund m3],T_HA[Codigo],T_Info[[#This Row],[Codigo]]),)</f>
        <v>40.770441731078002</v>
      </c>
      <c r="V32" s="22">
        <f>IFERROR(SUMIFS(T_Fe[Grua kg],T_Fe[Codigo],T_Info[[#This Row],[Codigo]])/SUMIFS(T_HA[Grua m3],T_HA[Codigo],T_Info[[#This Row],[Codigo]]),)</f>
        <v>0</v>
      </c>
      <c r="W32" s="22">
        <f>IFERROR(SUMIFS(T_Fe[Muros kg],T_Fe[Codigo],T_Info[[#This Row],[Codigo]])/SUMIFS(T_HA[Muros Int m3],T_HA[Codigo],T_Info[[#This Row],[Codigo]]),)</f>
        <v>0</v>
      </c>
      <c r="X32" s="22">
        <f>IFERROR(SUMIFS(T_Fe[Perimetrales kg],T_Fe[Codigo],T_Info[[#This Row],[Codigo]])/SUMIFS(T_HA[Perimetrales m3],T_HA[Codigo],T_Info[[#This Row],[Codigo]]),)</f>
        <v>0</v>
      </c>
      <c r="Y32" s="22">
        <f>IFERROR(SUMIFS(T_Fe[Vigas kg],T_Fe[Codigo],T_Info[[#This Row],[Codigo]])/SUMIFS(T_HA[Vigas m3],T_HA[Codigo],T_Info[[#This Row],[Codigo]]),)</f>
        <v>161.94811675370218</v>
      </c>
      <c r="Z32" s="50">
        <f>IFERROR(SUMIFS(T_Fe[Losas kg],T_Fe[Codigo],T_Info[[#This Row],[Codigo]])/SUMIFS(T_HA[Losas m3],T_HA[Codigo],T_Info[[#This Row],[Codigo]]),)</f>
        <v>81.558137929838878</v>
      </c>
      <c r="AA32" s="49">
        <f>SUMIFS(T_Fe[Fund kg/m2],T_Fe[Codigo],T_Info[[#This Row],[Codigo]])</f>
        <v>1.1599999999999999</v>
      </c>
      <c r="AB32" s="22">
        <f>SUMIFS(T_Fe[Muros kg/m2],T_Fe[Codigo],T_Info[[#This Row],[Codigo]])</f>
        <v>17.760000000000002</v>
      </c>
      <c r="AC32" s="22">
        <f>SUMIFS(T_Fe[Perimetrales kg/m2],T_Fe[Codigo],T_Info[[#This Row],[Codigo]])</f>
        <v>0</v>
      </c>
      <c r="AD32" s="22">
        <f>SUMIFS(T_Fe[Vigas kg/m2],T_Fe[Codigo],T_Info[[#This Row],[Codigo]])</f>
        <v>3.41</v>
      </c>
      <c r="AE32" s="50">
        <f>SUMIFS(T_Fe[Losas kg/m2],T_Fe[Codigo],T_Info[[#This Row],[Codigo]])</f>
        <v>12.330851876722159</v>
      </c>
      <c r="AF32" s="49">
        <f>IFERROR(SUMIFS(T_HA[Fund m3/m2],T_HA[Codigo],T_Info[[#This Row],[Codigo]]),)</f>
        <v>2.8451985083982279E-2</v>
      </c>
      <c r="AG32" s="22">
        <f>IFERROR(SUMIFS(T_HA[Muros Int m3/m2],T_HA[Codigo],T_Info[[#This Row],[Codigo]]),)</f>
        <v>0</v>
      </c>
      <c r="AH32" s="22">
        <f>IFERROR(SUMIFS(T_HA[Perimetrales m3/m2],T_HA[Codigo],T_Info[[#This Row],[Codigo]]),)</f>
        <v>0</v>
      </c>
      <c r="AI32" s="22">
        <f>IFERROR(SUMIFS(T_HA[Vigas m3/m2],T_HA[Codigo],T_Info[[#This Row],[Codigo]]),)</f>
        <v>2.1056126297449188E-2</v>
      </c>
      <c r="AJ32" s="50">
        <f>IFERROR(SUMIFS(T_HA[Losas m3/m2],T_HA[Codigo],T_Info[[#This Row],[Codigo]]),)</f>
        <v>0.15119094414992512</v>
      </c>
      <c r="AK32" s="22">
        <f>IFERROR(SUMIFS(T_HA[Fund m3],T_HA[Codigo],T_Info[[#This Row],[Codigo]])/SUMIFS(T_MLD[Fund Lat m2],T_MLD[Codigo],T_Info[[#This Row],[Codigo]]),)</f>
        <v>0</v>
      </c>
      <c r="AL32" s="22">
        <f>IFERROR(SUMIFS(T_HA[Muros m3],T_HA[Codigo],T_Info[[#This Row],[Codigo]])/SUMIFS(T_MLD[Muro m2],T_MLD[Codigo],T_Info[[#This Row],[Codigo]]),)</f>
        <v>0</v>
      </c>
      <c r="AM32" s="22">
        <f>IFERROR(SUMIFS(T_HA[Vigas m3],T_HA[Codigo],T_Info[[#This Row],[Codigo]])/(SUMIFS(T_MLD[Viga Lat m2],T_MLD[Codigo],T_Info[[#This Row],[Codigo]])+SUMIFS(T_MLD[Viga Fondo m2],T_MLD[Codigo],T_Info[[#This Row],[Codigo]])),)</f>
        <v>0</v>
      </c>
      <c r="AN32" s="22">
        <f>IFERROR(SUMIFS(T_HA[Losas m3],T_HA[Codigo],T_Info[[#This Row],[Codigo]])/(SUMIFS(T_MLD[Losa Fondo m2],T_MLD[Codigo],T_Info[[#This Row],[Codigo]])+SUMIFS(T_MLD[Rebalse m2],T_MLD[Codigo],T_Info[[#This Row],[Codigo]])),)</f>
        <v>0</v>
      </c>
      <c r="AO32" s="49">
        <f>IFERROR(SUMIFS(T_MLD[Fund Lat m2],T_MLD[Codigo],T_Info[[#This Row],[Codigo]])/T_Info[[#This Row],[Superficie m2]],)</f>
        <v>0</v>
      </c>
      <c r="AP32" s="22">
        <f>IFERROR(SUMIFS(T_MLD[Muro m2],T_MLD[Codigo],T_Info[[#This Row],[Codigo]])/T_Info[[#This Row],[Superficie m2]],)</f>
        <v>0</v>
      </c>
      <c r="AQ32" s="22">
        <f>IFERROR((SUMIFS(T_MLD[Viga Lat m2],T_MLD[Codigo],T_Info[[#This Row],[Codigo]])+SUMIFS(T_MLD[Viga Fondo m2],T_MLD[Codigo],T_Info[[#This Row],[Codigo]]))/T_Info[[#This Row],[Superficie m2]],)</f>
        <v>0</v>
      </c>
      <c r="AR32" s="50">
        <f>IFERROR((SUMIFS(T_MLD[Losa Fondo m2],T_MLD[Codigo],T_Info[[#This Row],[Codigo]])+SUMIFS(T_MLD[Rebalse m2],T_MLD[Codigo],T_Info[[#This Row],[Codigo]]))/T_Info[[#This Row],[Superficie m2]],)</f>
        <v>0</v>
      </c>
    </row>
    <row r="33" spans="1:44" x14ac:dyDescent="0.25">
      <c r="A33" s="52">
        <v>32</v>
      </c>
      <c r="B33" s="34">
        <v>17050</v>
      </c>
      <c r="C33" s="46" t="s">
        <v>15</v>
      </c>
      <c r="D33" s="6" t="s">
        <v>255</v>
      </c>
      <c r="E33" s="45" t="s">
        <v>80</v>
      </c>
      <c r="F33" s="34">
        <v>2</v>
      </c>
      <c r="G33" s="34">
        <v>24</v>
      </c>
      <c r="H33" s="34">
        <v>4</v>
      </c>
      <c r="I33" s="33">
        <v>23523</v>
      </c>
      <c r="J33" s="30"/>
      <c r="K33" s="53"/>
      <c r="L33" s="46"/>
      <c r="M33" s="47">
        <f>SUMIFS(T_Fe[Total kg],T_Fe[Codigo],T_Info[[#This Row],[Codigo]])</f>
        <v>689481.49551834888</v>
      </c>
      <c r="N33" s="33">
        <f>SUMIFS(T_HA[Total m3],T_HA[Codigo],T_Info[[#This Row],[Codigo]])</f>
        <v>4420.5099999999993</v>
      </c>
      <c r="O33" s="48">
        <f>SUMIFS(T_MLD[Total m2],T_MLD[Codigo],T_Info[[#This Row],[Codigo]])</f>
        <v>0</v>
      </c>
      <c r="P33" s="49">
        <f>IFERROR(T_Info[[#This Row],[Fe (kg)]]/T_Info[[#This Row],[HA (m3)]],)</f>
        <v>155.97329166054345</v>
      </c>
      <c r="Q33" s="22">
        <f>IFERROR(T_Info[[#This Row],[Fe (kg)]]/T_Info[[#This Row],[Superficie m2]],)</f>
        <v>29.310950793621089</v>
      </c>
      <c r="R33" s="22">
        <f>IFERROR(T_Info[[#This Row],[HA (m3)]]/T_Info[[#This Row],[Superficie m2]],)</f>
        <v>0.18792288398588614</v>
      </c>
      <c r="S33" s="22">
        <f>IFERROR(T_Info[[#This Row],[HA (m3)]]/T_Info[[#This Row],[MLD (m2)]],)</f>
        <v>0</v>
      </c>
      <c r="T33" s="50">
        <f>IFERROR(T_Info[[#This Row],[MLD (m2)]]/T_Info[[#This Row],[Superficie m2]],)</f>
        <v>0</v>
      </c>
      <c r="U33" s="49">
        <f>IFERROR(SUMIFS(T_Fe[Fund kg],T_Fe[Codigo],T_Info[[#This Row],[Codigo]])/SUMIFS(T_HA[Fund m3],T_HA[Codigo],T_Info[[#This Row],[Codigo]]),)</f>
        <v>19.392415498763398</v>
      </c>
      <c r="V33" s="22">
        <f>IFERROR(SUMIFS(T_Fe[Grua kg],T_Fe[Codigo],T_Info[[#This Row],[Codigo]])/SUMIFS(T_HA[Grua m3],T_HA[Codigo],T_Info[[#This Row],[Codigo]]),)</f>
        <v>0</v>
      </c>
      <c r="W33" s="22">
        <f>IFERROR(SUMIFS(T_Fe[Muros kg],T_Fe[Codigo],T_Info[[#This Row],[Codigo]])/SUMIFS(T_HA[Muros Int m3],T_HA[Codigo],T_Info[[#This Row],[Codigo]]),)</f>
        <v>0</v>
      </c>
      <c r="X33" s="22">
        <f>IFERROR(SUMIFS(T_Fe[Perimetrales kg],T_Fe[Codigo],T_Info[[#This Row],[Codigo]])/SUMIFS(T_HA[Perimetrales m3],T_HA[Codigo],T_Info[[#This Row],[Codigo]]),)</f>
        <v>0</v>
      </c>
      <c r="Y33" s="22">
        <f>IFERROR(SUMIFS(T_Fe[Vigas kg],T_Fe[Codigo],T_Info[[#This Row],[Codigo]])/SUMIFS(T_HA[Vigas m3],T_HA[Codigo],T_Info[[#This Row],[Codigo]]),)</f>
        <v>178.89968352101275</v>
      </c>
      <c r="Z33" s="50">
        <f>IFERROR(SUMIFS(T_Fe[Losas kg],T_Fe[Codigo],T_Info[[#This Row],[Codigo]])/SUMIFS(T_HA[Losas m3],T_HA[Codigo],T_Info[[#This Row],[Codigo]]),)</f>
        <v>79.255570647850277</v>
      </c>
      <c r="AA33" s="49">
        <f>SUMIFS(T_Fe[Fund kg/m2],T_Fe[Codigo],T_Info[[#This Row],[Codigo]])</f>
        <v>0.32</v>
      </c>
      <c r="AB33" s="22">
        <f>SUMIFS(T_Fe[Muros kg/m2],T_Fe[Codigo],T_Info[[#This Row],[Codigo]])</f>
        <v>13.72</v>
      </c>
      <c r="AC33" s="22">
        <f>SUMIFS(T_Fe[Perimetrales kg/m2],T_Fe[Codigo],T_Info[[#This Row],[Codigo]])</f>
        <v>0</v>
      </c>
      <c r="AD33" s="22">
        <f>SUMIFS(T_Fe[Vigas kg/m2],T_Fe[Codigo],T_Info[[#This Row],[Codigo]])</f>
        <v>3.1</v>
      </c>
      <c r="AE33" s="50">
        <f>SUMIFS(T_Fe[Losas kg/m2],T_Fe[Codigo],T_Info[[#This Row],[Codigo]])</f>
        <v>12.170950793621092</v>
      </c>
      <c r="AF33" s="49">
        <f>IFERROR(SUMIFS(T_HA[Fund m3/m2],T_HA[Codigo],T_Info[[#This Row],[Codigo]]),)</f>
        <v>1.6501296603324406E-2</v>
      </c>
      <c r="AG33" s="22">
        <f>IFERROR(SUMIFS(T_HA[Muros Int m3/m2],T_HA[Codigo],T_Info[[#This Row],[Codigo]]),)</f>
        <v>0</v>
      </c>
      <c r="AH33" s="22">
        <f>IFERROR(SUMIFS(T_HA[Perimetrales m3/m2],T_HA[Codigo],T_Info[[#This Row],[Codigo]]),)</f>
        <v>0</v>
      </c>
      <c r="AI33" s="22">
        <f>IFERROR(SUMIFS(T_HA[Vigas m3/m2],T_HA[Codigo],T_Info[[#This Row],[Codigo]]),)</f>
        <v>1.7328146920035706E-2</v>
      </c>
      <c r="AJ33" s="50">
        <f>IFERROR(SUMIFS(T_HA[Losas m3/m2],T_HA[Codigo],T_Info[[#This Row],[Codigo]]),)</f>
        <v>0.15356587170003824</v>
      </c>
      <c r="AK33" s="22">
        <f>IFERROR(SUMIFS(T_HA[Fund m3],T_HA[Codigo],T_Info[[#This Row],[Codigo]])/SUMIFS(T_MLD[Fund Lat m2],T_MLD[Codigo],T_Info[[#This Row],[Codigo]]),)</f>
        <v>0</v>
      </c>
      <c r="AL33" s="22">
        <f>IFERROR(SUMIFS(T_HA[Muros m3],T_HA[Codigo],T_Info[[#This Row],[Codigo]])/SUMIFS(T_MLD[Muro m2],T_MLD[Codigo],T_Info[[#This Row],[Codigo]]),)</f>
        <v>0</v>
      </c>
      <c r="AM33" s="22">
        <f>IFERROR(SUMIFS(T_HA[Vigas m3],T_HA[Codigo],T_Info[[#This Row],[Codigo]])/(SUMIFS(T_MLD[Viga Lat m2],T_MLD[Codigo],T_Info[[#This Row],[Codigo]])+SUMIFS(T_MLD[Viga Fondo m2],T_MLD[Codigo],T_Info[[#This Row],[Codigo]])),)</f>
        <v>0</v>
      </c>
      <c r="AN33" s="22">
        <f>IFERROR(SUMIFS(T_HA[Losas m3],T_HA[Codigo],T_Info[[#This Row],[Codigo]])/(SUMIFS(T_MLD[Losa Fondo m2],T_MLD[Codigo],T_Info[[#This Row],[Codigo]])+SUMIFS(T_MLD[Rebalse m2],T_MLD[Codigo],T_Info[[#This Row],[Codigo]])),)</f>
        <v>0</v>
      </c>
      <c r="AO33" s="49">
        <f>IFERROR(SUMIFS(T_MLD[Fund Lat m2],T_MLD[Codigo],T_Info[[#This Row],[Codigo]])/T_Info[[#This Row],[Superficie m2]],)</f>
        <v>0</v>
      </c>
      <c r="AP33" s="22">
        <f>IFERROR(SUMIFS(T_MLD[Muro m2],T_MLD[Codigo],T_Info[[#This Row],[Codigo]])/T_Info[[#This Row],[Superficie m2]],)</f>
        <v>0</v>
      </c>
      <c r="AQ33" s="22">
        <f>IFERROR((SUMIFS(T_MLD[Viga Lat m2],T_MLD[Codigo],T_Info[[#This Row],[Codigo]])+SUMIFS(T_MLD[Viga Fondo m2],T_MLD[Codigo],T_Info[[#This Row],[Codigo]]))/T_Info[[#This Row],[Superficie m2]],)</f>
        <v>0</v>
      </c>
      <c r="AR33" s="50">
        <f>IFERROR((SUMIFS(T_MLD[Losa Fondo m2],T_MLD[Codigo],T_Info[[#This Row],[Codigo]])+SUMIFS(T_MLD[Rebalse m2],T_MLD[Codigo],T_Info[[#This Row],[Codigo]]))/T_Info[[#This Row],[Superficie m2]],)</f>
        <v>0</v>
      </c>
    </row>
    <row r="34" spans="1:44" x14ac:dyDescent="0.25">
      <c r="A34" s="52">
        <v>33</v>
      </c>
      <c r="B34" s="34">
        <v>17080</v>
      </c>
      <c r="C34" s="46" t="s">
        <v>16</v>
      </c>
      <c r="D34" s="6" t="s">
        <v>255</v>
      </c>
      <c r="E34" s="45" t="s">
        <v>80</v>
      </c>
      <c r="F34" s="34">
        <v>2</v>
      </c>
      <c r="G34" s="34">
        <v>10</v>
      </c>
      <c r="H34" s="34">
        <v>2</v>
      </c>
      <c r="I34" s="33">
        <v>20806.43</v>
      </c>
      <c r="J34" s="30"/>
      <c r="K34" s="53"/>
      <c r="L34" s="46"/>
      <c r="M34" s="47">
        <f>SUMIFS(T_Fe[Total kg],T_Fe[Codigo],T_Info[[#This Row],[Codigo]])</f>
        <v>562168.29175515426</v>
      </c>
      <c r="N34" s="33">
        <f>SUMIFS(T_HA[Total m3],T_HA[Codigo],T_Info[[#This Row],[Codigo]])</f>
        <v>7105.3</v>
      </c>
      <c r="O34" s="48">
        <f>SUMIFS(T_MLD[Total m2],T_MLD[Codigo],T_Info[[#This Row],[Codigo]])</f>
        <v>0</v>
      </c>
      <c r="P34" s="49">
        <f>IFERROR(T_Info[[#This Row],[Fe (kg)]]/T_Info[[#This Row],[HA (m3)]],)</f>
        <v>79.119571552946994</v>
      </c>
      <c r="Q34" s="22">
        <f>IFERROR(T_Info[[#This Row],[Fe (kg)]]/T_Info[[#This Row],[Superficie m2]],)</f>
        <v>27.018969220339784</v>
      </c>
      <c r="R34" s="22">
        <f>IFERROR(T_Info[[#This Row],[HA (m3)]]/T_Info[[#This Row],[Superficie m2]],)</f>
        <v>0.34149539349133901</v>
      </c>
      <c r="S34" s="22">
        <f>IFERROR(T_Info[[#This Row],[HA (m3)]]/T_Info[[#This Row],[MLD (m2)]],)</f>
        <v>0</v>
      </c>
      <c r="T34" s="50">
        <f>IFERROR(T_Info[[#This Row],[MLD (m2)]]/T_Info[[#This Row],[Superficie m2]],)</f>
        <v>0</v>
      </c>
      <c r="U34" s="49">
        <f>IFERROR(SUMIFS(T_Fe[Fund kg],T_Fe[Codigo],T_Info[[#This Row],[Codigo]])/SUMIFS(T_HA[Fund m3],T_HA[Codigo],T_Info[[#This Row],[Codigo]]),)</f>
        <v>12.829499818643455</v>
      </c>
      <c r="V34" s="22">
        <f>IFERROR(SUMIFS(T_Fe[Grua kg],T_Fe[Codigo],T_Info[[#This Row],[Codigo]])/SUMIFS(T_HA[Grua m3],T_HA[Codigo],T_Info[[#This Row],[Codigo]]),)</f>
        <v>0</v>
      </c>
      <c r="W34" s="22">
        <f>IFERROR(SUMIFS(T_Fe[Muros kg],T_Fe[Codigo],T_Info[[#This Row],[Codigo]])/SUMIFS(T_HA[Muros Int m3],T_HA[Codigo],T_Info[[#This Row],[Codigo]]),)</f>
        <v>85.595166104378947</v>
      </c>
      <c r="X34" s="22">
        <f>IFERROR(SUMIFS(T_Fe[Perimetrales kg],T_Fe[Codigo],T_Info[[#This Row],[Codigo]])/SUMIFS(T_HA[Perimetrales m3],T_HA[Codigo],T_Info[[#This Row],[Codigo]]),)</f>
        <v>70.678921646417066</v>
      </c>
      <c r="Y34" s="22">
        <f>IFERROR(SUMIFS(T_Fe[Vigas kg],T_Fe[Codigo],T_Info[[#This Row],[Codigo]])/SUMIFS(T_HA[Vigas m3],T_HA[Codigo],T_Info[[#This Row],[Codigo]]),)</f>
        <v>134.1467197368421</v>
      </c>
      <c r="Z34" s="50">
        <f>IFERROR(SUMIFS(T_Fe[Losas kg],T_Fe[Codigo],T_Info[[#This Row],[Codigo]])/SUMIFS(T_HA[Losas m3],T_HA[Codigo],T_Info[[#This Row],[Codigo]]),)</f>
        <v>75.842506854607805</v>
      </c>
      <c r="AA34" s="49">
        <f>SUMIFS(T_Fe[Fund kg/m2],T_Fe[Codigo],T_Info[[#This Row],[Codigo]])</f>
        <v>0.17</v>
      </c>
      <c r="AB34" s="22">
        <f>SUMIFS(T_Fe[Muros kg/m2],T_Fe[Codigo],T_Info[[#This Row],[Codigo]])</f>
        <v>11.95</v>
      </c>
      <c r="AC34" s="22">
        <f>SUMIFS(T_Fe[Perimetrales kg/m2],T_Fe[Codigo],T_Info[[#This Row],[Codigo]])</f>
        <v>1.37</v>
      </c>
      <c r="AD34" s="22">
        <f>SUMIFS(T_Fe[Vigas kg/m2],T_Fe[Codigo],T_Info[[#This Row],[Codigo]])</f>
        <v>1.96</v>
      </c>
      <c r="AE34" s="50">
        <f>SUMIFS(T_Fe[Losas kg/m2],T_Fe[Codigo],T_Info[[#This Row],[Codigo]])</f>
        <v>11.568969220339781</v>
      </c>
      <c r="AF34" s="49">
        <f>IFERROR(SUMIFS(T_HA[Fund m3/m2],T_HA[Codigo],T_Info[[#This Row],[Codigo]]),)</f>
        <v>1.3250711438723509E-2</v>
      </c>
      <c r="AG34" s="22">
        <f>IFERROR(SUMIFS(T_HA[Muros Int m3/m2],T_HA[Codigo],T_Info[[#This Row],[Codigo]]),)</f>
        <v>0.13961068765761353</v>
      </c>
      <c r="AH34" s="22">
        <f>IFERROR(SUMIFS(T_HA[Perimetrales m3/m2],T_HA[Codigo],T_Info[[#This Row],[Codigo]]),)</f>
        <v>1.9383430987439942E-2</v>
      </c>
      <c r="AI34" s="22">
        <f>IFERROR(SUMIFS(T_HA[Vigas m3/m2],T_HA[Codigo],T_Info[[#This Row],[Codigo]]),)</f>
        <v>1.4610867890358894E-2</v>
      </c>
      <c r="AJ34" s="50">
        <f>IFERROR(SUMIFS(T_HA[Losas m3/m2],T_HA[Codigo],T_Info[[#This Row],[Codigo]]),)</f>
        <v>0.15253938325796401</v>
      </c>
      <c r="AK34" s="22">
        <f>IFERROR(SUMIFS(T_HA[Fund m3],T_HA[Codigo],T_Info[[#This Row],[Codigo]])/SUMIFS(T_MLD[Fund Lat m2],T_MLD[Codigo],T_Info[[#This Row],[Codigo]]),)</f>
        <v>0</v>
      </c>
      <c r="AL34" s="22">
        <f>IFERROR(SUMIFS(T_HA[Muros m3],T_HA[Codigo],T_Info[[#This Row],[Codigo]])/SUMIFS(T_MLD[Muro m2],T_MLD[Codigo],T_Info[[#This Row],[Codigo]]),)</f>
        <v>0</v>
      </c>
      <c r="AM34" s="22">
        <f>IFERROR(SUMIFS(T_HA[Vigas m3],T_HA[Codigo],T_Info[[#This Row],[Codigo]])/(SUMIFS(T_MLD[Viga Lat m2],T_MLD[Codigo],T_Info[[#This Row],[Codigo]])+SUMIFS(T_MLD[Viga Fondo m2],T_MLD[Codigo],T_Info[[#This Row],[Codigo]])),)</f>
        <v>0</v>
      </c>
      <c r="AN34" s="22">
        <f>IFERROR(SUMIFS(T_HA[Losas m3],T_HA[Codigo],T_Info[[#This Row],[Codigo]])/(SUMIFS(T_MLD[Losa Fondo m2],T_MLD[Codigo],T_Info[[#This Row],[Codigo]])+SUMIFS(T_MLD[Rebalse m2],T_MLD[Codigo],T_Info[[#This Row],[Codigo]])),)</f>
        <v>0</v>
      </c>
      <c r="AO34" s="49">
        <f>IFERROR(SUMIFS(T_MLD[Fund Lat m2],T_MLD[Codigo],T_Info[[#This Row],[Codigo]])/T_Info[[#This Row],[Superficie m2]],)</f>
        <v>0</v>
      </c>
      <c r="AP34" s="22">
        <f>IFERROR(SUMIFS(T_MLD[Muro m2],T_MLD[Codigo],T_Info[[#This Row],[Codigo]])/T_Info[[#This Row],[Superficie m2]],)</f>
        <v>0</v>
      </c>
      <c r="AQ34" s="22">
        <f>IFERROR((SUMIFS(T_MLD[Viga Lat m2],T_MLD[Codigo],T_Info[[#This Row],[Codigo]])+SUMIFS(T_MLD[Viga Fondo m2],T_MLD[Codigo],T_Info[[#This Row],[Codigo]]))/T_Info[[#This Row],[Superficie m2]],)</f>
        <v>0</v>
      </c>
      <c r="AR34" s="50">
        <f>IFERROR((SUMIFS(T_MLD[Losa Fondo m2],T_MLD[Codigo],T_Info[[#This Row],[Codigo]])+SUMIFS(T_MLD[Rebalse m2],T_MLD[Codigo],T_Info[[#This Row],[Codigo]]))/T_Info[[#This Row],[Superficie m2]],)</f>
        <v>0</v>
      </c>
    </row>
    <row r="35" spans="1:44" x14ac:dyDescent="0.25">
      <c r="A35" s="52">
        <v>34</v>
      </c>
      <c r="B35" s="34">
        <v>17098</v>
      </c>
      <c r="C35" s="46" t="s">
        <v>17</v>
      </c>
      <c r="D35" s="6" t="s">
        <v>255</v>
      </c>
      <c r="E35" s="45" t="s">
        <v>80</v>
      </c>
      <c r="F35" s="34">
        <v>2</v>
      </c>
      <c r="G35" s="34">
        <v>12</v>
      </c>
      <c r="H35" s="34">
        <v>2</v>
      </c>
      <c r="I35" s="33">
        <v>8300.99</v>
      </c>
      <c r="J35" s="30"/>
      <c r="K35" s="53"/>
      <c r="L35" s="46"/>
      <c r="M35" s="47">
        <f>SUMIFS(T_Fe[Total kg],T_Fe[Codigo],T_Info[[#This Row],[Codigo]])</f>
        <v>231203.55739999999</v>
      </c>
      <c r="N35" s="33">
        <f>SUMIFS(T_HA[Total m3],T_HA[Codigo],T_Info[[#This Row],[Codigo]])</f>
        <v>1662.56</v>
      </c>
      <c r="O35" s="48">
        <f>SUMIFS(T_MLD[Total m2],T_MLD[Codigo],T_Info[[#This Row],[Codigo]])</f>
        <v>21958.520000000008</v>
      </c>
      <c r="P35" s="49">
        <f>IFERROR(T_Info[[#This Row],[Fe (kg)]]/T_Info[[#This Row],[HA (m3)]],)</f>
        <v>139.06479008276392</v>
      </c>
      <c r="Q35" s="22">
        <f>IFERROR(T_Info[[#This Row],[Fe (kg)]]/T_Info[[#This Row],[Superficie m2]],)</f>
        <v>27.852528120139887</v>
      </c>
      <c r="R35" s="22">
        <f>IFERROR(T_Info[[#This Row],[HA (m3)]]/T_Info[[#This Row],[Superficie m2]],)</f>
        <v>0.20028454437362289</v>
      </c>
      <c r="S35" s="22">
        <f>IFERROR(T_Info[[#This Row],[HA (m3)]]/T_Info[[#This Row],[MLD (m2)]],)</f>
        <v>7.5713663762402905E-2</v>
      </c>
      <c r="T35" s="50">
        <f>IFERROR(T_Info[[#This Row],[MLD (m2)]]/T_Info[[#This Row],[Superficie m2]],)</f>
        <v>2.645289296818814</v>
      </c>
      <c r="U35" s="49">
        <f>IFERROR(SUMIFS(T_Fe[Fund kg],T_Fe[Codigo],T_Info[[#This Row],[Codigo]])/SUMIFS(T_HA[Fund m3],T_HA[Codigo],T_Info[[#This Row],[Codigo]]),)</f>
        <v>14.398941890719863</v>
      </c>
      <c r="V35" s="22">
        <f>IFERROR(SUMIFS(T_Fe[Grua kg],T_Fe[Codigo],T_Info[[#This Row],[Codigo]])/SUMIFS(T_HA[Grua m3],T_HA[Codigo],T_Info[[#This Row],[Codigo]]),)</f>
        <v>0</v>
      </c>
      <c r="W35" s="22">
        <f>IFERROR(SUMIFS(T_Fe[Muros kg],T_Fe[Codigo],T_Info[[#This Row],[Codigo]])/SUMIFS(T_HA[Muros Int m3],T_HA[Codigo],T_Info[[#This Row],[Codigo]]),)</f>
        <v>0</v>
      </c>
      <c r="X35" s="22">
        <f>IFERROR(SUMIFS(T_Fe[Perimetrales kg],T_Fe[Codigo],T_Info[[#This Row],[Codigo]])/SUMIFS(T_HA[Perimetrales m3],T_HA[Codigo],T_Info[[#This Row],[Codigo]]),)</f>
        <v>0</v>
      </c>
      <c r="Y35" s="22">
        <f>IFERROR(SUMIFS(T_Fe[Vigas kg],T_Fe[Codigo],T_Info[[#This Row],[Codigo]])/SUMIFS(T_HA[Vigas m3],T_HA[Codigo],T_Info[[#This Row],[Codigo]]),)</f>
        <v>142.51640407872895</v>
      </c>
      <c r="Z35" s="50">
        <f>IFERROR(SUMIFS(T_Fe[Losas kg],T_Fe[Codigo],T_Info[[#This Row],[Codigo]])/SUMIFS(T_HA[Losas m3],T_HA[Codigo],T_Info[[#This Row],[Codigo]]),)</f>
        <v>75.58256949189817</v>
      </c>
      <c r="AA35" s="49">
        <f>SUMIFS(T_Fe[Fund kg/m2],T_Fe[Codigo],T_Info[[#This Row],[Codigo]])</f>
        <v>0.26</v>
      </c>
      <c r="AB35" s="22">
        <f>SUMIFS(T_Fe[Muros kg/m2],T_Fe[Codigo],T_Info[[#This Row],[Codigo]])</f>
        <v>12.38</v>
      </c>
      <c r="AC35" s="22">
        <f>SUMIFS(T_Fe[Perimetrales kg/m2],T_Fe[Codigo],T_Info[[#This Row],[Codigo]])</f>
        <v>0</v>
      </c>
      <c r="AD35" s="22">
        <f>SUMIFS(T_Fe[Vigas kg/m2],T_Fe[Codigo],T_Info[[#This Row],[Codigo]])</f>
        <v>3.62</v>
      </c>
      <c r="AE35" s="50">
        <f>SUMIFS(T_Fe[Losas kg/m2],T_Fe[Codigo],T_Info[[#This Row],[Codigo]])</f>
        <v>11.592528120139885</v>
      </c>
      <c r="AF35" s="49">
        <f>IFERROR(SUMIFS(T_HA[Fund m3/m2],T_HA[Codigo],T_Info[[#This Row],[Codigo]]),)</f>
        <v>1.805688237186167E-2</v>
      </c>
      <c r="AG35" s="22">
        <f>IFERROR(SUMIFS(T_HA[Muros Int m3/m2],T_HA[Codigo],T_Info[[#This Row],[Codigo]]),)</f>
        <v>0</v>
      </c>
      <c r="AH35" s="22">
        <f>IFERROR(SUMIFS(T_HA[Perimetrales m3/m2],T_HA[Codigo],T_Info[[#This Row],[Codigo]]),)</f>
        <v>0</v>
      </c>
      <c r="AI35" s="22">
        <f>IFERROR(SUMIFS(T_HA[Vigas m3/m2],T_HA[Codigo],T_Info[[#This Row],[Codigo]]),)</f>
        <v>2.5400584749529876E-2</v>
      </c>
      <c r="AJ35" s="50">
        <f>IFERROR(SUMIFS(T_HA[Losas m3/m2],T_HA[Codigo],T_Info[[#This Row],[Codigo]]),)</f>
        <v>0.15337568169579771</v>
      </c>
      <c r="AK35" s="22">
        <f>IFERROR(SUMIFS(T_HA[Fund m3],T_HA[Codigo],T_Info[[#This Row],[Codigo]])/SUMIFS(T_MLD[Fund Lat m2],T_MLD[Codigo],T_Info[[#This Row],[Codigo]]),)</f>
        <v>0</v>
      </c>
      <c r="AL35" s="22">
        <f>IFERROR(SUMIFS(T_HA[Muros m3],T_HA[Codigo],T_Info[[#This Row],[Codigo]])/SUMIFS(T_MLD[Muro m2],T_MLD[Codigo],T_Info[[#This Row],[Codigo]]),)</f>
        <v>0</v>
      </c>
      <c r="AM35" s="22">
        <f>IFERROR(SUMIFS(T_HA[Vigas m3],T_HA[Codigo],T_Info[[#This Row],[Codigo]])/(SUMIFS(T_MLD[Viga Lat m2],T_MLD[Codigo],T_Info[[#This Row],[Codigo]])+SUMIFS(T_MLD[Viga Fondo m2],T_MLD[Codigo],T_Info[[#This Row],[Codigo]])),)</f>
        <v>0</v>
      </c>
      <c r="AN35" s="22">
        <f>IFERROR(SUMIFS(T_HA[Losas m3],T_HA[Codigo],T_Info[[#This Row],[Codigo]])/(SUMIFS(T_MLD[Losa Fondo m2],T_MLD[Codigo],T_Info[[#This Row],[Codigo]])+SUMIFS(T_MLD[Rebalse m2],T_MLD[Codigo],T_Info[[#This Row],[Codigo]])),)</f>
        <v>0</v>
      </c>
      <c r="AO35" s="49">
        <f>IFERROR(SUMIFS(T_MLD[Fund Lat m2],T_MLD[Codigo],T_Info[[#This Row],[Codigo]])/T_Info[[#This Row],[Superficie m2]],)</f>
        <v>0</v>
      </c>
      <c r="AP35" s="22">
        <f>IFERROR(SUMIFS(T_MLD[Muro m2],T_MLD[Codigo],T_Info[[#This Row],[Codigo]])/T_Info[[#This Row],[Superficie m2]],)</f>
        <v>0</v>
      </c>
      <c r="AQ35" s="22">
        <f>IFERROR((SUMIFS(T_MLD[Viga Lat m2],T_MLD[Codigo],T_Info[[#This Row],[Codigo]])+SUMIFS(T_MLD[Viga Fondo m2],T_MLD[Codigo],T_Info[[#This Row],[Codigo]]))/T_Info[[#This Row],[Superficie m2]],)</f>
        <v>0</v>
      </c>
      <c r="AR35" s="50">
        <f>IFERROR((SUMIFS(T_MLD[Losa Fondo m2],T_MLD[Codigo],T_Info[[#This Row],[Codigo]])+SUMIFS(T_MLD[Rebalse m2],T_MLD[Codigo],T_Info[[#This Row],[Codigo]]))/T_Info[[#This Row],[Superficie m2]],)</f>
        <v>0</v>
      </c>
    </row>
    <row r="36" spans="1:44" x14ac:dyDescent="0.25">
      <c r="A36" s="52">
        <v>35</v>
      </c>
      <c r="B36" s="34">
        <v>17100</v>
      </c>
      <c r="C36" s="46" t="s">
        <v>18</v>
      </c>
      <c r="D36" s="6" t="s">
        <v>255</v>
      </c>
      <c r="E36" s="45" t="s">
        <v>80</v>
      </c>
      <c r="F36" s="34">
        <v>2</v>
      </c>
      <c r="G36" s="34">
        <v>16</v>
      </c>
      <c r="H36" s="34">
        <v>2</v>
      </c>
      <c r="I36" s="33">
        <v>16551.04</v>
      </c>
      <c r="J36" s="30"/>
      <c r="K36" s="53"/>
      <c r="L36" s="46"/>
      <c r="M36" s="47">
        <f>SUMIFS(T_Fe[Total kg],T_Fe[Codigo],T_Info[[#This Row],[Codigo]])</f>
        <v>489999.79520000005</v>
      </c>
      <c r="N36" s="33">
        <f>SUMIFS(T_HA[Total m3],T_HA[Codigo],T_Info[[#This Row],[Codigo]])</f>
        <v>5586.3</v>
      </c>
      <c r="O36" s="48">
        <f>SUMIFS(T_MLD[Total m2],T_MLD[Codigo],T_Info[[#This Row],[Codigo]])</f>
        <v>40864</v>
      </c>
      <c r="P36" s="49">
        <f>IFERROR(T_Info[[#This Row],[Fe (kg)]]/T_Info[[#This Row],[HA (m3)]],)</f>
        <v>87.71455081180747</v>
      </c>
      <c r="Q36" s="22">
        <f>IFERROR(T_Info[[#This Row],[Fe (kg)]]/T_Info[[#This Row],[Superficie m2]],)</f>
        <v>29.605377982289937</v>
      </c>
      <c r="R36" s="22">
        <f>IFERROR(T_Info[[#This Row],[HA (m3)]]/T_Info[[#This Row],[Superficie m2]],)</f>
        <v>0.33751957580913344</v>
      </c>
      <c r="S36" s="22">
        <f>IFERROR(T_Info[[#This Row],[HA (m3)]]/T_Info[[#This Row],[MLD (m2)]],)</f>
        <v>0.13670467893500393</v>
      </c>
      <c r="T36" s="50">
        <f>IFERROR(T_Info[[#This Row],[MLD (m2)]]/T_Info[[#This Row],[Superficie m2]],)</f>
        <v>2.4689687173736514</v>
      </c>
      <c r="U36" s="49">
        <f>IFERROR(SUMIFS(T_Fe[Fund kg],T_Fe[Codigo],T_Info[[#This Row],[Codigo]])/SUMIFS(T_HA[Fund m3],T_HA[Codigo],T_Info[[#This Row],[Codigo]]),)</f>
        <v>21.931590106007064</v>
      </c>
      <c r="V36" s="22">
        <f>IFERROR(SUMIFS(T_Fe[Grua kg],T_Fe[Codigo],T_Info[[#This Row],[Codigo]])/SUMIFS(T_HA[Grua m3],T_HA[Codigo],T_Info[[#This Row],[Codigo]]),)</f>
        <v>0</v>
      </c>
      <c r="W36" s="22">
        <f>IFERROR(SUMIFS(T_Fe[Muros kg],T_Fe[Codigo],T_Info[[#This Row],[Codigo]])/SUMIFS(T_HA[Muros Int m3],T_HA[Codigo],T_Info[[#This Row],[Codigo]]),)</f>
        <v>94.82860565654461</v>
      </c>
      <c r="X36" s="22">
        <f>IFERROR(SUMIFS(T_Fe[Perimetrales kg],T_Fe[Codigo],T_Info[[#This Row],[Codigo]])/SUMIFS(T_HA[Perimetrales m3],T_HA[Codigo],T_Info[[#This Row],[Codigo]]),)</f>
        <v>126.84079484571041</v>
      </c>
      <c r="Y36" s="22">
        <f>IFERROR(SUMIFS(T_Fe[Vigas kg],T_Fe[Codigo],T_Info[[#This Row],[Codigo]])/SUMIFS(T_HA[Vigas m3],T_HA[Codigo],T_Info[[#This Row],[Codigo]]),)</f>
        <v>128.77005495523312</v>
      </c>
      <c r="Z36" s="50">
        <f>IFERROR(SUMIFS(T_Fe[Losas kg],T_Fe[Codigo],T_Info[[#This Row],[Codigo]])/SUMIFS(T_HA[Losas m3],T_HA[Codigo],T_Info[[#This Row],[Codigo]]),)</f>
        <v>85.938424090141723</v>
      </c>
      <c r="AA36" s="49">
        <f>SUMIFS(T_Fe[Fund kg/m2],T_Fe[Codigo],T_Info[[#This Row],[Codigo]])</f>
        <v>0.6</v>
      </c>
      <c r="AB36" s="22">
        <f>SUMIFS(T_Fe[Muros kg/m2],T_Fe[Codigo],T_Info[[#This Row],[Codigo]])</f>
        <v>11</v>
      </c>
      <c r="AC36" s="22">
        <f>SUMIFS(T_Fe[Perimetrales kg/m2],T_Fe[Codigo],T_Info[[#This Row],[Codigo]])</f>
        <v>2.2599999999999998</v>
      </c>
      <c r="AD36" s="22">
        <f>SUMIFS(T_Fe[Vigas kg/m2],T_Fe[Codigo],T_Info[[#This Row],[Codigo]])</f>
        <v>2.52</v>
      </c>
      <c r="AE36" s="50">
        <f>SUMIFS(T_Fe[Losas kg/m2],T_Fe[Codigo],T_Info[[#This Row],[Codigo]])</f>
        <v>13.225377982289933</v>
      </c>
      <c r="AF36" s="49">
        <f>IFERROR(SUMIFS(T_HA[Fund m3/m2],T_HA[Codigo],T_Info[[#This Row],[Codigo]]),)</f>
        <v>2.7357797455628167E-2</v>
      </c>
      <c r="AG36" s="22">
        <f>IFERROR(SUMIFS(T_HA[Muros Int m3/m2],T_HA[Codigo],T_Info[[#This Row],[Codigo]]),)</f>
        <v>0.1159987529484552</v>
      </c>
      <c r="AH36" s="22">
        <f>IFERROR(SUMIFS(T_HA[Perimetrales m3/m2],T_HA[Codigo],T_Info[[#This Row],[Codigo]]),)</f>
        <v>1.7817611461273732E-2</v>
      </c>
      <c r="AI36" s="22">
        <f>IFERROR(SUMIFS(T_HA[Vigas m3/m2],T_HA[Codigo],T_Info[[#This Row],[Codigo]]),)</f>
        <v>1.9569767217044967E-2</v>
      </c>
      <c r="AJ36" s="50">
        <f>IFERROR(SUMIFS(T_HA[Losas m3/m2],T_HA[Codigo],T_Info[[#This Row],[Codigo]]),)</f>
        <v>0.15389365260430762</v>
      </c>
      <c r="AK36" s="22">
        <f>IFERROR(SUMIFS(T_HA[Fund m3],T_HA[Codigo],T_Info[[#This Row],[Codigo]])/SUMIFS(T_MLD[Fund Lat m2],T_MLD[Codigo],T_Info[[#This Row],[Codigo]]),)</f>
        <v>0</v>
      </c>
      <c r="AL36" s="22">
        <f>IFERROR(SUMIFS(T_HA[Muros m3],T_HA[Codigo],T_Info[[#This Row],[Codigo]])/SUMIFS(T_MLD[Muro m2],T_MLD[Codigo],T_Info[[#This Row],[Codigo]]),)</f>
        <v>0</v>
      </c>
      <c r="AM36" s="22">
        <f>IFERROR(SUMIFS(T_HA[Vigas m3],T_HA[Codigo],T_Info[[#This Row],[Codigo]])/(SUMIFS(T_MLD[Viga Lat m2],T_MLD[Codigo],T_Info[[#This Row],[Codigo]])+SUMIFS(T_MLD[Viga Fondo m2],T_MLD[Codigo],T_Info[[#This Row],[Codigo]])),)</f>
        <v>0</v>
      </c>
      <c r="AN36" s="22">
        <f>IFERROR(SUMIFS(T_HA[Losas m3],T_HA[Codigo],T_Info[[#This Row],[Codigo]])/(SUMIFS(T_MLD[Losa Fondo m2],T_MLD[Codigo],T_Info[[#This Row],[Codigo]])+SUMIFS(T_MLD[Rebalse m2],T_MLD[Codigo],T_Info[[#This Row],[Codigo]])),)</f>
        <v>0</v>
      </c>
      <c r="AO36" s="49">
        <f>IFERROR(SUMIFS(T_MLD[Fund Lat m2],T_MLD[Codigo],T_Info[[#This Row],[Codigo]])/T_Info[[#This Row],[Superficie m2]],)</f>
        <v>0</v>
      </c>
      <c r="AP36" s="22">
        <f>IFERROR(SUMIFS(T_MLD[Muro m2],T_MLD[Codigo],T_Info[[#This Row],[Codigo]])/T_Info[[#This Row],[Superficie m2]],)</f>
        <v>0</v>
      </c>
      <c r="AQ36" s="22">
        <f>IFERROR((SUMIFS(T_MLD[Viga Lat m2],T_MLD[Codigo],T_Info[[#This Row],[Codigo]])+SUMIFS(T_MLD[Viga Fondo m2],T_MLD[Codigo],T_Info[[#This Row],[Codigo]]))/T_Info[[#This Row],[Superficie m2]],)</f>
        <v>0</v>
      </c>
      <c r="AR36" s="50">
        <f>IFERROR((SUMIFS(T_MLD[Losa Fondo m2],T_MLD[Codigo],T_Info[[#This Row],[Codigo]])+SUMIFS(T_MLD[Rebalse m2],T_MLD[Codigo],T_Info[[#This Row],[Codigo]]))/T_Info[[#This Row],[Superficie m2]],)</f>
        <v>0</v>
      </c>
    </row>
    <row r="37" spans="1:44" x14ac:dyDescent="0.25">
      <c r="A37" s="52">
        <v>36</v>
      </c>
      <c r="B37" s="34">
        <v>17106</v>
      </c>
      <c r="C37" s="46" t="s">
        <v>19</v>
      </c>
      <c r="D37" s="6" t="s">
        <v>255</v>
      </c>
      <c r="E37" s="45" t="s">
        <v>80</v>
      </c>
      <c r="F37" s="34">
        <v>2</v>
      </c>
      <c r="G37" s="34">
        <v>13</v>
      </c>
      <c r="H37" s="34">
        <v>2</v>
      </c>
      <c r="I37" s="33">
        <v>21028.959999999999</v>
      </c>
      <c r="J37" s="30"/>
      <c r="K37" s="53"/>
      <c r="L37" s="46"/>
      <c r="M37" s="47">
        <f>SUMIFS(T_Fe[Total kg],T_Fe[Codigo],T_Info[[#This Row],[Codigo]])</f>
        <v>614310.33195000002</v>
      </c>
      <c r="N37" s="33">
        <f>SUMIFS(T_HA[Total m3],T_HA[Codigo],T_Info[[#This Row],[Codigo]])</f>
        <v>3622.6699999999996</v>
      </c>
      <c r="O37" s="48">
        <f>SUMIFS(T_MLD[Total m2],T_MLD[Codigo],T_Info[[#This Row],[Codigo]])</f>
        <v>42427.110000000015</v>
      </c>
      <c r="P37" s="49">
        <f>IFERROR(T_Info[[#This Row],[Fe (kg)]]/T_Info[[#This Row],[HA (m3)]],)</f>
        <v>169.57391425385146</v>
      </c>
      <c r="Q37" s="22">
        <f>IFERROR(T_Info[[#This Row],[Fe (kg)]]/T_Info[[#This Row],[Superficie m2]],)</f>
        <v>29.212587400898574</v>
      </c>
      <c r="R37" s="22">
        <f>IFERROR(T_Info[[#This Row],[HA (m3)]]/T_Info[[#This Row],[Superficie m2]],)</f>
        <v>0.17227052597941123</v>
      </c>
      <c r="S37" s="22">
        <f>IFERROR(T_Info[[#This Row],[HA (m3)]]/T_Info[[#This Row],[MLD (m2)]],)</f>
        <v>8.5385735677023455E-2</v>
      </c>
      <c r="T37" s="50">
        <f>IFERROR(T_Info[[#This Row],[MLD (m2)]]/T_Info[[#This Row],[Superficie m2]],)</f>
        <v>2.0175562652646644</v>
      </c>
      <c r="U37" s="49">
        <f>IFERROR(SUMIFS(T_Fe[Fund kg],T_Fe[Codigo],T_Info[[#This Row],[Codigo]])/SUMIFS(T_HA[Fund m3],T_HA[Codigo],T_Info[[#This Row],[Codigo]]),)</f>
        <v>17.234498019396256</v>
      </c>
      <c r="V37" s="22">
        <f>IFERROR(SUMIFS(T_Fe[Grua kg],T_Fe[Codigo],T_Info[[#This Row],[Codigo]])/SUMIFS(T_HA[Grua m3],T_HA[Codigo],T_Info[[#This Row],[Codigo]]),)</f>
        <v>0</v>
      </c>
      <c r="W37" s="22">
        <f>IFERROR(SUMIFS(T_Fe[Muros kg],T_Fe[Codigo],T_Info[[#This Row],[Codigo]])/SUMIFS(T_HA[Muros Int m3],T_HA[Codigo],T_Info[[#This Row],[Codigo]]),)</f>
        <v>0</v>
      </c>
      <c r="X37" s="22">
        <f>IFERROR(SUMIFS(T_Fe[Perimetrales kg],T_Fe[Codigo],T_Info[[#This Row],[Codigo]])/SUMIFS(T_HA[Perimetrales m3],T_HA[Codigo],T_Info[[#This Row],[Codigo]]),)</f>
        <v>0</v>
      </c>
      <c r="Y37" s="22">
        <f>IFERROR(SUMIFS(T_Fe[Vigas kg],T_Fe[Codigo],T_Info[[#This Row],[Codigo]])/SUMIFS(T_HA[Vigas m3],T_HA[Codigo],T_Info[[#This Row],[Codigo]]),)</f>
        <v>175.84995380517245</v>
      </c>
      <c r="Z37" s="50">
        <f>IFERROR(SUMIFS(T_Fe[Losas kg],T_Fe[Codigo],T_Info[[#This Row],[Codigo]])/SUMIFS(T_HA[Losas m3],T_HA[Codigo],T_Info[[#This Row],[Codigo]]),)</f>
        <v>94.084022181550452</v>
      </c>
      <c r="AA37" s="49">
        <f>SUMIFS(T_Fe[Fund kg/m2],T_Fe[Codigo],T_Info[[#This Row],[Codigo]])</f>
        <v>0.36</v>
      </c>
      <c r="AB37" s="22">
        <f>SUMIFS(T_Fe[Muros kg/m2],T_Fe[Codigo],T_Info[[#This Row],[Codigo]])</f>
        <v>13.49</v>
      </c>
      <c r="AC37" s="22">
        <f>SUMIFS(T_Fe[Perimetrales kg/m2],T_Fe[Codigo],T_Info[[#This Row],[Codigo]])</f>
        <v>0</v>
      </c>
      <c r="AD37" s="22">
        <f>SUMIFS(T_Fe[Vigas kg/m2],T_Fe[Codigo],T_Info[[#This Row],[Codigo]])</f>
        <v>2.48</v>
      </c>
      <c r="AE37" s="50">
        <f>SUMIFS(T_Fe[Losas kg/m2],T_Fe[Codigo],T_Info[[#This Row],[Codigo]])</f>
        <v>12.882587400898569</v>
      </c>
      <c r="AF37" s="49">
        <f>IFERROR(SUMIFS(T_HA[Fund m3/m2],T_HA[Codigo],T_Info[[#This Row],[Codigo]]),)</f>
        <v>2.0888336845949585E-2</v>
      </c>
      <c r="AG37" s="22">
        <f>IFERROR(SUMIFS(T_HA[Muros Int m3/m2],T_HA[Codigo],T_Info[[#This Row],[Codigo]]),)</f>
        <v>0</v>
      </c>
      <c r="AH37" s="22">
        <f>IFERROR(SUMIFS(T_HA[Perimetrales m3/m2],T_HA[Codigo],T_Info[[#This Row],[Codigo]]),)</f>
        <v>0</v>
      </c>
      <c r="AI37" s="22">
        <f>IFERROR(SUMIFS(T_HA[Vigas m3/m2],T_HA[Codigo],T_Info[[#This Row],[Codigo]]),)</f>
        <v>1.4102932337119858E-2</v>
      </c>
      <c r="AJ37" s="50">
        <f>IFERROR(SUMIFS(T_HA[Losas m3/m2],T_HA[Codigo],T_Info[[#This Row],[Codigo]]),)</f>
        <v>0.13692641005546635</v>
      </c>
      <c r="AK37" s="22">
        <f>IFERROR(SUMIFS(T_HA[Fund m3],T_HA[Codigo],T_Info[[#This Row],[Codigo]])/SUMIFS(T_MLD[Fund Lat m2],T_MLD[Codigo],T_Info[[#This Row],[Codigo]]),)</f>
        <v>0</v>
      </c>
      <c r="AL37" s="22">
        <f>IFERROR(SUMIFS(T_HA[Muros m3],T_HA[Codigo],T_Info[[#This Row],[Codigo]])/SUMIFS(T_MLD[Muro m2],T_MLD[Codigo],T_Info[[#This Row],[Codigo]]),)</f>
        <v>0</v>
      </c>
      <c r="AM37" s="22">
        <f>IFERROR(SUMIFS(T_HA[Vigas m3],T_HA[Codigo],T_Info[[#This Row],[Codigo]])/(SUMIFS(T_MLD[Viga Lat m2],T_MLD[Codigo],T_Info[[#This Row],[Codigo]])+SUMIFS(T_MLD[Viga Fondo m2],T_MLD[Codigo],T_Info[[#This Row],[Codigo]])),)</f>
        <v>0</v>
      </c>
      <c r="AN37" s="22">
        <f>IFERROR(SUMIFS(T_HA[Losas m3],T_HA[Codigo],T_Info[[#This Row],[Codigo]])/(SUMIFS(T_MLD[Losa Fondo m2],T_MLD[Codigo],T_Info[[#This Row],[Codigo]])+SUMIFS(T_MLD[Rebalse m2],T_MLD[Codigo],T_Info[[#This Row],[Codigo]])),)</f>
        <v>0</v>
      </c>
      <c r="AO37" s="49">
        <f>IFERROR(SUMIFS(T_MLD[Fund Lat m2],T_MLD[Codigo],T_Info[[#This Row],[Codigo]])/T_Info[[#This Row],[Superficie m2]],)</f>
        <v>0</v>
      </c>
      <c r="AP37" s="22">
        <f>IFERROR(SUMIFS(T_MLD[Muro m2],T_MLD[Codigo],T_Info[[#This Row],[Codigo]])/T_Info[[#This Row],[Superficie m2]],)</f>
        <v>0</v>
      </c>
      <c r="AQ37" s="22">
        <f>IFERROR((SUMIFS(T_MLD[Viga Lat m2],T_MLD[Codigo],T_Info[[#This Row],[Codigo]])+SUMIFS(T_MLD[Viga Fondo m2],T_MLD[Codigo],T_Info[[#This Row],[Codigo]]))/T_Info[[#This Row],[Superficie m2]],)</f>
        <v>0</v>
      </c>
      <c r="AR37" s="50">
        <f>IFERROR((SUMIFS(T_MLD[Losa Fondo m2],T_MLD[Codigo],T_Info[[#This Row],[Codigo]])+SUMIFS(T_MLD[Rebalse m2],T_MLD[Codigo],T_Info[[#This Row],[Codigo]]))/T_Info[[#This Row],[Superficie m2]],)</f>
        <v>0</v>
      </c>
    </row>
    <row r="38" spans="1:44" x14ac:dyDescent="0.25">
      <c r="A38" s="52">
        <v>37</v>
      </c>
      <c r="B38" s="34">
        <v>18001</v>
      </c>
      <c r="C38" s="46" t="s">
        <v>22</v>
      </c>
      <c r="D38" s="6" t="s">
        <v>259</v>
      </c>
      <c r="E38" s="45" t="s">
        <v>91</v>
      </c>
      <c r="F38" s="34">
        <v>2</v>
      </c>
      <c r="G38" s="34">
        <v>7</v>
      </c>
      <c r="H38" s="34">
        <v>2</v>
      </c>
      <c r="I38" s="33">
        <v>13883.06</v>
      </c>
      <c r="J38" s="30"/>
      <c r="K38" s="53"/>
      <c r="L38" s="46"/>
      <c r="M38" s="47">
        <f>SUMIFS(T_Fe[Total kg],T_Fe[Codigo],T_Info[[#This Row],[Codigo]])</f>
        <v>399700.86714999995</v>
      </c>
      <c r="N38" s="33">
        <f>SUMIFS(T_HA[Total m3],T_HA[Codigo],T_Info[[#This Row],[Codigo]])</f>
        <v>3286.86</v>
      </c>
      <c r="O38" s="48">
        <f>SUMIFS(T_MLD[Total m2],T_MLD[Codigo],T_Info[[#This Row],[Codigo]])</f>
        <v>32019.54</v>
      </c>
      <c r="P38" s="49">
        <f>IFERROR(T_Info[[#This Row],[Fe (kg)]]/T_Info[[#This Row],[HA (m3)]],)</f>
        <v>121.6056866279671</v>
      </c>
      <c r="Q38" s="22">
        <f>IFERROR(T_Info[[#This Row],[Fe (kg)]]/T_Info[[#This Row],[Superficie m2]],)</f>
        <v>28.790545250830867</v>
      </c>
      <c r="R38" s="22">
        <f>IFERROR(T_Info[[#This Row],[HA (m3)]]/T_Info[[#This Row],[Superficie m2]],)</f>
        <v>0.23675328061680928</v>
      </c>
      <c r="S38" s="22">
        <f>IFERROR(T_Info[[#This Row],[HA (m3)]]/T_Info[[#This Row],[MLD (m2)]],)</f>
        <v>0.10265169330977272</v>
      </c>
      <c r="T38" s="50">
        <f>IFERROR(T_Info[[#This Row],[MLD (m2)]]/T_Info[[#This Row],[Superficie m2]],)</f>
        <v>2.3063748193841995</v>
      </c>
      <c r="U38" s="49">
        <f>IFERROR(SUMIFS(T_Fe[Fund kg],T_Fe[Codigo],T_Info[[#This Row],[Codigo]])/SUMIFS(T_HA[Fund m3],T_HA[Codigo],T_Info[[#This Row],[Codigo]]),)</f>
        <v>24.736811951754387</v>
      </c>
      <c r="V38" s="22">
        <f>IFERROR(SUMIFS(T_Fe[Grua kg],T_Fe[Codigo],T_Info[[#This Row],[Codigo]])/SUMIFS(T_HA[Grua m3],T_HA[Codigo],T_Info[[#This Row],[Codigo]]),)</f>
        <v>0</v>
      </c>
      <c r="W38" s="22">
        <f>IFERROR(SUMIFS(T_Fe[Muros kg],T_Fe[Codigo],T_Info[[#This Row],[Codigo]])/SUMIFS(T_HA[Muros Int m3],T_HA[Codigo],T_Info[[#This Row],[Codigo]]),)</f>
        <v>0</v>
      </c>
      <c r="X38" s="22">
        <f>IFERROR(SUMIFS(T_Fe[Perimetrales kg],T_Fe[Codigo],T_Info[[#This Row],[Codigo]])/SUMIFS(T_HA[Perimetrales m3],T_HA[Codigo],T_Info[[#This Row],[Codigo]]),)</f>
        <v>0</v>
      </c>
      <c r="Y38" s="22">
        <f>IFERROR(SUMIFS(T_Fe[Vigas kg],T_Fe[Codigo],T_Info[[#This Row],[Codigo]])/SUMIFS(T_HA[Vigas m3],T_HA[Codigo],T_Info[[#This Row],[Codigo]]),)</f>
        <v>201.85636953360921</v>
      </c>
      <c r="Z38" s="50">
        <f>IFERROR(SUMIFS(T_Fe[Losas kg],T_Fe[Codigo],T_Info[[#This Row],[Codigo]])/SUMIFS(T_HA[Losas m3],T_HA[Codigo],T_Info[[#This Row],[Codigo]]),)</f>
        <v>74.67579578493401</v>
      </c>
      <c r="AA38" s="49">
        <f>SUMIFS(T_Fe[Fund kg/m2],T_Fe[Codigo],T_Info[[#This Row],[Codigo]])</f>
        <v>0.39</v>
      </c>
      <c r="AB38" s="22">
        <f>SUMIFS(T_Fe[Muros kg/m2],T_Fe[Codigo],T_Info[[#This Row],[Codigo]])</f>
        <v>10.259999999999998</v>
      </c>
      <c r="AC38" s="22">
        <f>SUMIFS(T_Fe[Perimetrales kg/m2],T_Fe[Codigo],T_Info[[#This Row],[Codigo]])</f>
        <v>0</v>
      </c>
      <c r="AD38" s="22">
        <f>SUMIFS(T_Fe[Vigas kg/m2],T_Fe[Codigo],T_Info[[#This Row],[Codigo]])</f>
        <v>2.6</v>
      </c>
      <c r="AE38" s="50">
        <f>SUMIFS(T_Fe[Losas kg/m2],T_Fe[Codigo],T_Info[[#This Row],[Codigo]])</f>
        <v>15.540545250830867</v>
      </c>
      <c r="AF38" s="49">
        <f>IFERROR(SUMIFS(T_HA[Fund m3/m2],T_HA[Codigo],T_Info[[#This Row],[Codigo]]),)</f>
        <v>1.5765976665086803E-2</v>
      </c>
      <c r="AG38" s="22">
        <f>IFERROR(SUMIFS(T_HA[Muros Int m3/m2],T_HA[Codigo],T_Info[[#This Row],[Codigo]]),)</f>
        <v>0</v>
      </c>
      <c r="AH38" s="22">
        <f>IFERROR(SUMIFS(T_HA[Perimetrales m3/m2],T_HA[Codigo],T_Info[[#This Row],[Codigo]]),)</f>
        <v>0</v>
      </c>
      <c r="AI38" s="22">
        <f>IFERROR(SUMIFS(T_HA[Vigas m3/m2],T_HA[Codigo],T_Info[[#This Row],[Codigo]]),)</f>
        <v>1.2880445665436871E-2</v>
      </c>
      <c r="AJ38" s="50">
        <f>IFERROR(SUMIFS(T_HA[Losas m3/m2],T_HA[Codigo],T_Info[[#This Row],[Codigo]]),)</f>
        <v>0.20810685828628561</v>
      </c>
      <c r="AK38" s="22">
        <f>IFERROR(SUMIFS(T_HA[Fund m3],T_HA[Codigo],T_Info[[#This Row],[Codigo]])/SUMIFS(T_MLD[Fund Lat m2],T_MLD[Codigo],T_Info[[#This Row],[Codigo]]),)</f>
        <v>0</v>
      </c>
      <c r="AL38" s="22">
        <f>IFERROR(SUMIFS(T_HA[Muros m3],T_HA[Codigo],T_Info[[#This Row],[Codigo]])/SUMIFS(T_MLD[Muro m2],T_MLD[Codigo],T_Info[[#This Row],[Codigo]]),)</f>
        <v>0</v>
      </c>
      <c r="AM38" s="22">
        <f>IFERROR(SUMIFS(T_HA[Vigas m3],T_HA[Codigo],T_Info[[#This Row],[Codigo]])/(SUMIFS(T_MLD[Viga Lat m2],T_MLD[Codigo],T_Info[[#This Row],[Codigo]])+SUMIFS(T_MLD[Viga Fondo m2],T_MLD[Codigo],T_Info[[#This Row],[Codigo]])),)</f>
        <v>0</v>
      </c>
      <c r="AN38" s="22">
        <f>IFERROR(SUMIFS(T_HA[Losas m3],T_HA[Codigo],T_Info[[#This Row],[Codigo]])/(SUMIFS(T_MLD[Losa Fondo m2],T_MLD[Codigo],T_Info[[#This Row],[Codigo]])+SUMIFS(T_MLD[Rebalse m2],T_MLD[Codigo],T_Info[[#This Row],[Codigo]])),)</f>
        <v>0</v>
      </c>
      <c r="AO38" s="49">
        <f>IFERROR(SUMIFS(T_MLD[Fund Lat m2],T_MLD[Codigo],T_Info[[#This Row],[Codigo]])/T_Info[[#This Row],[Superficie m2]],)</f>
        <v>0</v>
      </c>
      <c r="AP38" s="22">
        <f>IFERROR(SUMIFS(T_MLD[Muro m2],T_MLD[Codigo],T_Info[[#This Row],[Codigo]])/T_Info[[#This Row],[Superficie m2]],)</f>
        <v>0</v>
      </c>
      <c r="AQ38" s="22">
        <f>IFERROR((SUMIFS(T_MLD[Viga Lat m2],T_MLD[Codigo],T_Info[[#This Row],[Codigo]])+SUMIFS(T_MLD[Viga Fondo m2],T_MLD[Codigo],T_Info[[#This Row],[Codigo]]))/T_Info[[#This Row],[Superficie m2]],)</f>
        <v>0</v>
      </c>
      <c r="AR38" s="50">
        <f>IFERROR((SUMIFS(T_MLD[Losa Fondo m2],T_MLD[Codigo],T_Info[[#This Row],[Codigo]])+SUMIFS(T_MLD[Rebalse m2],T_MLD[Codigo],T_Info[[#This Row],[Codigo]]))/T_Info[[#This Row],[Superficie m2]],)</f>
        <v>0</v>
      </c>
    </row>
    <row r="39" spans="1:44" x14ac:dyDescent="0.25">
      <c r="A39" s="52">
        <v>38</v>
      </c>
      <c r="B39" s="34">
        <v>18002</v>
      </c>
      <c r="C39" s="46" t="s">
        <v>23</v>
      </c>
      <c r="D39" s="6" t="s">
        <v>254</v>
      </c>
      <c r="E39" s="45" t="s">
        <v>80</v>
      </c>
      <c r="F39" s="34">
        <v>2</v>
      </c>
      <c r="G39" s="34">
        <v>10</v>
      </c>
      <c r="H39" s="34">
        <v>3</v>
      </c>
      <c r="I39" s="33">
        <v>12466.65</v>
      </c>
      <c r="J39" s="30"/>
      <c r="K39" s="53"/>
      <c r="L39" s="46"/>
      <c r="M39" s="47">
        <f>SUMIFS(T_Fe[Total kg],T_Fe[Codigo],T_Info[[#This Row],[Codigo]])</f>
        <v>363682.21569999994</v>
      </c>
      <c r="N39" s="33">
        <f>SUMIFS(T_HA[Total m3],T_HA[Codigo],T_Info[[#This Row],[Codigo]])</f>
        <v>2510.6899999999996</v>
      </c>
      <c r="O39" s="48">
        <f>SUMIFS(T_MLD[Total m2],T_MLD[Codigo],T_Info[[#This Row],[Codigo]])</f>
        <v>33184.200000000012</v>
      </c>
      <c r="P39" s="49">
        <f>IFERROR(T_Info[[#This Row],[Fe (kg)]]/T_Info[[#This Row],[HA (m3)]],)</f>
        <v>144.85349274502229</v>
      </c>
      <c r="Q39" s="22">
        <f>IFERROR(T_Info[[#This Row],[Fe (kg)]]/T_Info[[#This Row],[Superficie m2]],)</f>
        <v>29.172409243862621</v>
      </c>
      <c r="R39" s="22">
        <f>IFERROR(T_Info[[#This Row],[HA (m3)]]/T_Info[[#This Row],[Superficie m2]],)</f>
        <v>0.20139251523063531</v>
      </c>
      <c r="S39" s="22">
        <f>IFERROR(T_Info[[#This Row],[HA (m3)]]/T_Info[[#This Row],[MLD (m2)]],)</f>
        <v>7.5659199257477924E-2</v>
      </c>
      <c r="T39" s="50">
        <f>IFERROR(T_Info[[#This Row],[MLD (m2)]]/T_Info[[#This Row],[Superficie m2]],)</f>
        <v>2.6618377832055935</v>
      </c>
      <c r="U39" s="49">
        <f>IFERROR(SUMIFS(T_Fe[Fund kg],T_Fe[Codigo],T_Info[[#This Row],[Codigo]])/SUMIFS(T_HA[Fund m3],T_HA[Codigo],T_Info[[#This Row],[Codigo]]),)</f>
        <v>19.97700504767246</v>
      </c>
      <c r="V39" s="22">
        <f>IFERROR(SUMIFS(T_Fe[Grua kg],T_Fe[Codigo],T_Info[[#This Row],[Codigo]])/SUMIFS(T_HA[Grua m3],T_HA[Codigo],T_Info[[#This Row],[Codigo]]),)</f>
        <v>0</v>
      </c>
      <c r="W39" s="22">
        <f>IFERROR(SUMIFS(T_Fe[Muros kg],T_Fe[Codigo],T_Info[[#This Row],[Codigo]])/SUMIFS(T_HA[Muros Int m3],T_HA[Codigo],T_Info[[#This Row],[Codigo]]),)</f>
        <v>0</v>
      </c>
      <c r="X39" s="22">
        <f>IFERROR(SUMIFS(T_Fe[Perimetrales kg],T_Fe[Codigo],T_Info[[#This Row],[Codigo]])/SUMIFS(T_HA[Perimetrales m3],T_HA[Codigo],T_Info[[#This Row],[Codigo]]),)</f>
        <v>0</v>
      </c>
      <c r="Y39" s="22">
        <f>IFERROR(SUMIFS(T_Fe[Vigas kg],T_Fe[Codigo],T_Info[[#This Row],[Codigo]])/SUMIFS(T_HA[Vigas m3],T_HA[Codigo],T_Info[[#This Row],[Codigo]]),)</f>
        <v>142.21453724828885</v>
      </c>
      <c r="Z39" s="50">
        <f>IFERROR(SUMIFS(T_Fe[Losas kg],T_Fe[Codigo],T_Info[[#This Row],[Codigo]])/SUMIFS(T_HA[Losas m3],T_HA[Codigo],T_Info[[#This Row],[Codigo]]),)</f>
        <v>79.699825217190806</v>
      </c>
      <c r="AA39" s="49">
        <f>SUMIFS(T_Fe[Fund kg/m2],T_Fe[Codigo],T_Info[[#This Row],[Codigo]])</f>
        <v>0.4</v>
      </c>
      <c r="AB39" s="22">
        <f>SUMIFS(T_Fe[Muros kg/m2],T_Fe[Codigo],T_Info[[#This Row],[Codigo]])</f>
        <v>13.44</v>
      </c>
      <c r="AC39" s="22">
        <f>SUMIFS(T_Fe[Perimetrales kg/m2],T_Fe[Codigo],T_Info[[#This Row],[Codigo]])</f>
        <v>0</v>
      </c>
      <c r="AD39" s="22">
        <f>SUMIFS(T_Fe[Vigas kg/m2],T_Fe[Codigo],T_Info[[#This Row],[Codigo]])</f>
        <v>2.2999999999999998</v>
      </c>
      <c r="AE39" s="50">
        <f>SUMIFS(T_Fe[Losas kg/m2],T_Fe[Codigo],T_Info[[#This Row],[Codigo]])</f>
        <v>13.032409243862622</v>
      </c>
      <c r="AF39" s="49">
        <f>IFERROR(SUMIFS(T_HA[Fund m3/m2],T_HA[Codigo],T_Info[[#This Row],[Codigo]]),)</f>
        <v>2.0023021421151633E-2</v>
      </c>
      <c r="AG39" s="22">
        <f>IFERROR(SUMIFS(T_HA[Muros Int m3/m2],T_HA[Codigo],T_Info[[#This Row],[Codigo]]),)</f>
        <v>0</v>
      </c>
      <c r="AH39" s="22">
        <f>IFERROR(SUMIFS(T_HA[Perimetrales m3/m2],T_HA[Codigo],T_Info[[#This Row],[Codigo]]),)</f>
        <v>0</v>
      </c>
      <c r="AI39" s="22">
        <f>IFERROR(SUMIFS(T_HA[Vigas m3/m2],T_HA[Codigo],T_Info[[#This Row],[Codigo]]),)</f>
        <v>1.6172748894049325E-2</v>
      </c>
      <c r="AJ39" s="50">
        <f>IFERROR(SUMIFS(T_HA[Losas m3/m2],T_HA[Codigo],T_Info[[#This Row],[Codigo]]),)</f>
        <v>0.16351866780570562</v>
      </c>
      <c r="AK39" s="22">
        <f>IFERROR(SUMIFS(T_HA[Fund m3],T_HA[Codigo],T_Info[[#This Row],[Codigo]])/SUMIFS(T_MLD[Fund Lat m2],T_MLD[Codigo],T_Info[[#This Row],[Codigo]]),)</f>
        <v>0</v>
      </c>
      <c r="AL39" s="22">
        <f>IFERROR(SUMIFS(T_HA[Muros m3],T_HA[Codigo],T_Info[[#This Row],[Codigo]])/SUMIFS(T_MLD[Muro m2],T_MLD[Codigo],T_Info[[#This Row],[Codigo]]),)</f>
        <v>0</v>
      </c>
      <c r="AM39" s="22">
        <f>IFERROR(SUMIFS(T_HA[Vigas m3],T_HA[Codigo],T_Info[[#This Row],[Codigo]])/(SUMIFS(T_MLD[Viga Lat m2],T_MLD[Codigo],T_Info[[#This Row],[Codigo]])+SUMIFS(T_MLD[Viga Fondo m2],T_MLD[Codigo],T_Info[[#This Row],[Codigo]])),)</f>
        <v>0</v>
      </c>
      <c r="AN39" s="22">
        <f>IFERROR(SUMIFS(T_HA[Losas m3],T_HA[Codigo],T_Info[[#This Row],[Codigo]])/(SUMIFS(T_MLD[Losa Fondo m2],T_MLD[Codigo],T_Info[[#This Row],[Codigo]])+SUMIFS(T_MLD[Rebalse m2],T_MLD[Codigo],T_Info[[#This Row],[Codigo]])),)</f>
        <v>0</v>
      </c>
      <c r="AO39" s="49">
        <f>IFERROR(SUMIFS(T_MLD[Fund Lat m2],T_MLD[Codigo],T_Info[[#This Row],[Codigo]])/T_Info[[#This Row],[Superficie m2]],)</f>
        <v>0</v>
      </c>
      <c r="AP39" s="22">
        <f>IFERROR(SUMIFS(T_MLD[Muro m2],T_MLD[Codigo],T_Info[[#This Row],[Codigo]])/T_Info[[#This Row],[Superficie m2]],)</f>
        <v>0</v>
      </c>
      <c r="AQ39" s="22">
        <f>IFERROR((SUMIFS(T_MLD[Viga Lat m2],T_MLD[Codigo],T_Info[[#This Row],[Codigo]])+SUMIFS(T_MLD[Viga Fondo m2],T_MLD[Codigo],T_Info[[#This Row],[Codigo]]))/T_Info[[#This Row],[Superficie m2]],)</f>
        <v>0</v>
      </c>
      <c r="AR39" s="50">
        <f>IFERROR((SUMIFS(T_MLD[Losa Fondo m2],T_MLD[Codigo],T_Info[[#This Row],[Codigo]])+SUMIFS(T_MLD[Rebalse m2],T_MLD[Codigo],T_Info[[#This Row],[Codigo]]))/T_Info[[#This Row],[Superficie m2]],)</f>
        <v>0</v>
      </c>
    </row>
    <row r="40" spans="1:44" x14ac:dyDescent="0.25">
      <c r="A40" s="52">
        <v>39</v>
      </c>
      <c r="B40" s="34">
        <v>18003</v>
      </c>
      <c r="C40" s="46" t="s">
        <v>24</v>
      </c>
      <c r="D40" s="6" t="s">
        <v>255</v>
      </c>
      <c r="E40" s="45" t="s">
        <v>80</v>
      </c>
      <c r="F40" s="34">
        <v>2</v>
      </c>
      <c r="G40" s="34">
        <v>12</v>
      </c>
      <c r="H40" s="34">
        <v>4</v>
      </c>
      <c r="I40" s="33">
        <v>11673.69</v>
      </c>
      <c r="J40" s="30"/>
      <c r="K40" s="53"/>
      <c r="L40" s="46"/>
      <c r="M40" s="47">
        <f>SUMIFS(T_Fe[Total kg],T_Fe[Codigo],T_Info[[#This Row],[Codigo]])</f>
        <v>375255.69163793221</v>
      </c>
      <c r="N40" s="33">
        <f>SUMIFS(T_HA[Total m3],T_HA[Codigo],T_Info[[#This Row],[Codigo]])</f>
        <v>0</v>
      </c>
      <c r="O40" s="48">
        <f>SUMIFS(T_MLD[Total m2],T_MLD[Codigo],T_Info[[#This Row],[Codigo]])</f>
        <v>25601.840000000007</v>
      </c>
      <c r="P40" s="49">
        <f>IFERROR(T_Info[[#This Row],[Fe (kg)]]/T_Info[[#This Row],[HA (m3)]],)</f>
        <v>0</v>
      </c>
      <c r="Q40" s="22">
        <f>IFERROR(T_Info[[#This Row],[Fe (kg)]]/T_Info[[#This Row],[Superficie m2]],)</f>
        <v>32.145422024906622</v>
      </c>
      <c r="R40" s="22">
        <f>IFERROR(T_Info[[#This Row],[HA (m3)]]/T_Info[[#This Row],[Superficie m2]],)</f>
        <v>0</v>
      </c>
      <c r="S40" s="22">
        <f>IFERROR(T_Info[[#This Row],[HA (m3)]]/T_Info[[#This Row],[MLD (m2)]],)</f>
        <v>0</v>
      </c>
      <c r="T40" s="50">
        <f>IFERROR(T_Info[[#This Row],[MLD (m2)]]/T_Info[[#This Row],[Superficie m2]],)</f>
        <v>2.1931231684240378</v>
      </c>
      <c r="U40" s="49">
        <f>IFERROR(SUMIFS(T_Fe[Fund kg],T_Fe[Codigo],T_Info[[#This Row],[Codigo]])/SUMIFS(T_HA[Fund m3],T_HA[Codigo],T_Info[[#This Row],[Codigo]]),)</f>
        <v>0</v>
      </c>
      <c r="V40" s="22">
        <f>IFERROR(SUMIFS(T_Fe[Grua kg],T_Fe[Codigo],T_Info[[#This Row],[Codigo]])/SUMIFS(T_HA[Grua m3],T_HA[Codigo],T_Info[[#This Row],[Codigo]]),)</f>
        <v>0</v>
      </c>
      <c r="W40" s="22">
        <f>IFERROR(SUMIFS(T_Fe[Muros kg],T_Fe[Codigo],T_Info[[#This Row],[Codigo]])/SUMIFS(T_HA[Muros Int m3],T_HA[Codigo],T_Info[[#This Row],[Codigo]]),)</f>
        <v>0</v>
      </c>
      <c r="X40" s="22">
        <f>IFERROR(SUMIFS(T_Fe[Perimetrales kg],T_Fe[Codigo],T_Info[[#This Row],[Codigo]])/SUMIFS(T_HA[Perimetrales m3],T_HA[Codigo],T_Info[[#This Row],[Codigo]]),)</f>
        <v>0</v>
      </c>
      <c r="Y40" s="22">
        <f>IFERROR(SUMIFS(T_Fe[Vigas kg],T_Fe[Codigo],T_Info[[#This Row],[Codigo]])/SUMIFS(T_HA[Vigas m3],T_HA[Codigo],T_Info[[#This Row],[Codigo]]),)</f>
        <v>0</v>
      </c>
      <c r="Z40" s="50">
        <f>IFERROR(SUMIFS(T_Fe[Losas kg],T_Fe[Codigo],T_Info[[#This Row],[Codigo]])/SUMIFS(T_HA[Losas m3],T_HA[Codigo],T_Info[[#This Row],[Codigo]]),)</f>
        <v>0</v>
      </c>
      <c r="AA40" s="49">
        <f>SUMIFS(T_Fe[Fund kg/m2],T_Fe[Codigo],T_Info[[#This Row],[Codigo]])</f>
        <v>0.22</v>
      </c>
      <c r="AB40" s="22">
        <f>SUMIFS(T_Fe[Muros kg/m2],T_Fe[Codigo],T_Info[[#This Row],[Codigo]])</f>
        <v>15.99</v>
      </c>
      <c r="AC40" s="22">
        <f>SUMIFS(T_Fe[Perimetrales kg/m2],T_Fe[Codigo],T_Info[[#This Row],[Codigo]])</f>
        <v>0</v>
      </c>
      <c r="AD40" s="22">
        <f>SUMIFS(T_Fe[Vigas kg/m2],T_Fe[Codigo],T_Info[[#This Row],[Codigo]])</f>
        <v>4.0999999999999996</v>
      </c>
      <c r="AE40" s="50">
        <f>SUMIFS(T_Fe[Losas kg/m2],T_Fe[Codigo],T_Info[[#This Row],[Codigo]])</f>
        <v>11.835422024906622</v>
      </c>
      <c r="AF40" s="49">
        <f>IFERROR(SUMIFS(T_HA[Fund m3/m2],T_HA[Codigo],T_Info[[#This Row],[Codigo]]),)</f>
        <v>0</v>
      </c>
      <c r="AG40" s="22">
        <f>IFERROR(SUMIFS(T_HA[Muros Int m3/m2],T_HA[Codigo],T_Info[[#This Row],[Codigo]]),)</f>
        <v>0</v>
      </c>
      <c r="AH40" s="22">
        <f>IFERROR(SUMIFS(T_HA[Perimetrales m3/m2],T_HA[Codigo],T_Info[[#This Row],[Codigo]]),)</f>
        <v>0</v>
      </c>
      <c r="AI40" s="22">
        <f>IFERROR(SUMIFS(T_HA[Vigas m3/m2],T_HA[Codigo],T_Info[[#This Row],[Codigo]]),)</f>
        <v>0</v>
      </c>
      <c r="AJ40" s="50">
        <f>IFERROR(SUMIFS(T_HA[Losas m3/m2],T_HA[Codigo],T_Info[[#This Row],[Codigo]]),)</f>
        <v>0</v>
      </c>
      <c r="AK40" s="22">
        <f>IFERROR(SUMIFS(T_HA[Fund m3],T_HA[Codigo],T_Info[[#This Row],[Codigo]])/SUMIFS(T_MLD[Fund Lat m2],T_MLD[Codigo],T_Info[[#This Row],[Codigo]]),)</f>
        <v>0</v>
      </c>
      <c r="AL40" s="22">
        <f>IFERROR(SUMIFS(T_HA[Muros m3],T_HA[Codigo],T_Info[[#This Row],[Codigo]])/SUMIFS(T_MLD[Muro m2],T_MLD[Codigo],T_Info[[#This Row],[Codigo]]),)</f>
        <v>0</v>
      </c>
      <c r="AM40" s="22">
        <f>IFERROR(SUMIFS(T_HA[Vigas m3],T_HA[Codigo],T_Info[[#This Row],[Codigo]])/(SUMIFS(T_MLD[Viga Lat m2],T_MLD[Codigo],T_Info[[#This Row],[Codigo]])+SUMIFS(T_MLD[Viga Fondo m2],T_MLD[Codigo],T_Info[[#This Row],[Codigo]])),)</f>
        <v>0</v>
      </c>
      <c r="AN40" s="22">
        <f>IFERROR(SUMIFS(T_HA[Losas m3],T_HA[Codigo],T_Info[[#This Row],[Codigo]])/(SUMIFS(T_MLD[Losa Fondo m2],T_MLD[Codigo],T_Info[[#This Row],[Codigo]])+SUMIFS(T_MLD[Rebalse m2],T_MLD[Codigo],T_Info[[#This Row],[Codigo]])),)</f>
        <v>0</v>
      </c>
      <c r="AO40" s="49">
        <f>IFERROR(SUMIFS(T_MLD[Fund Lat m2],T_MLD[Codigo],T_Info[[#This Row],[Codigo]])/T_Info[[#This Row],[Superficie m2]],)</f>
        <v>0</v>
      </c>
      <c r="AP40" s="22">
        <f>IFERROR(SUMIFS(T_MLD[Muro m2],T_MLD[Codigo],T_Info[[#This Row],[Codigo]])/T_Info[[#This Row],[Superficie m2]],)</f>
        <v>0</v>
      </c>
      <c r="AQ40" s="22">
        <f>IFERROR((SUMIFS(T_MLD[Viga Lat m2],T_MLD[Codigo],T_Info[[#This Row],[Codigo]])+SUMIFS(T_MLD[Viga Fondo m2],T_MLD[Codigo],T_Info[[#This Row],[Codigo]]))/T_Info[[#This Row],[Superficie m2]],)</f>
        <v>0</v>
      </c>
      <c r="AR40" s="50">
        <f>IFERROR((SUMIFS(T_MLD[Losa Fondo m2],T_MLD[Codigo],T_Info[[#This Row],[Codigo]])+SUMIFS(T_MLD[Rebalse m2],T_MLD[Codigo],T_Info[[#This Row],[Codigo]]))/T_Info[[#This Row],[Superficie m2]],)</f>
        <v>0</v>
      </c>
    </row>
    <row r="41" spans="1:44" x14ac:dyDescent="0.25">
      <c r="A41" s="52">
        <v>40</v>
      </c>
      <c r="B41" s="34">
        <v>18004</v>
      </c>
      <c r="C41" s="46" t="s">
        <v>25</v>
      </c>
      <c r="D41" s="6" t="s">
        <v>255</v>
      </c>
      <c r="E41" s="45" t="s">
        <v>91</v>
      </c>
      <c r="F41" s="34">
        <v>2</v>
      </c>
      <c r="G41" s="34">
        <v>12</v>
      </c>
      <c r="H41" s="34">
        <v>3</v>
      </c>
      <c r="I41" s="33">
        <v>16237.81</v>
      </c>
      <c r="J41" s="30"/>
      <c r="K41" s="53" t="s">
        <v>180</v>
      </c>
      <c r="L41" s="46"/>
      <c r="M41" s="47">
        <f>SUMIFS(T_Fe[Total kg],T_Fe[Codigo],T_Info[[#This Row],[Codigo]])</f>
        <v>565563.04947759223</v>
      </c>
      <c r="N41" s="33">
        <f>SUMIFS(T_HA[Total m3],T_HA[Codigo],T_Info[[#This Row],[Codigo]])</f>
        <v>4573.8500000000013</v>
      </c>
      <c r="O41" s="48">
        <f>SUMIFS(T_MLD[Total m2],T_MLD[Codigo],T_Info[[#This Row],[Codigo]])</f>
        <v>38239</v>
      </c>
      <c r="P41" s="49">
        <f>IFERROR(T_Info[[#This Row],[Fe (kg)]]/T_Info[[#This Row],[HA (m3)]],)</f>
        <v>123.65142046144759</v>
      </c>
      <c r="Q41" s="22">
        <f>IFERROR(T_Info[[#This Row],[Fe (kg)]]/T_Info[[#This Row],[Superficie m2]],)</f>
        <v>34.830007832188713</v>
      </c>
      <c r="R41" s="22">
        <f>IFERROR(T_Info[[#This Row],[HA (m3)]]/T_Info[[#This Row],[Superficie m2]],)</f>
        <v>0.28167899488908921</v>
      </c>
      <c r="S41" s="22">
        <f>IFERROR(T_Info[[#This Row],[HA (m3)]]/T_Info[[#This Row],[MLD (m2)]],)</f>
        <v>0.11961217605062897</v>
      </c>
      <c r="T41" s="50">
        <f>IFERROR(T_Info[[#This Row],[MLD (m2)]]/T_Info[[#This Row],[Superficie m2]],)</f>
        <v>2.3549357949132306</v>
      </c>
      <c r="U41" s="49">
        <f>IFERROR(SUMIFS(T_Fe[Fund kg],T_Fe[Codigo],T_Info[[#This Row],[Codigo]])/SUMIFS(T_HA[Fund m3],T_HA[Codigo],T_Info[[#This Row],[Codigo]]),)</f>
        <v>56.436398392527423</v>
      </c>
      <c r="V41" s="22">
        <f>IFERROR(SUMIFS(T_Fe[Grua kg],T_Fe[Codigo],T_Info[[#This Row],[Codigo]])/SUMIFS(T_HA[Grua m3],T_HA[Codigo],T_Info[[#This Row],[Codigo]]),)</f>
        <v>0</v>
      </c>
      <c r="W41" s="22">
        <f>IFERROR(SUMIFS(T_Fe[Muros kg],T_Fe[Codigo],T_Info[[#This Row],[Codigo]])/SUMIFS(T_HA[Muros Int m3],T_HA[Codigo],T_Info[[#This Row],[Codigo]]),)</f>
        <v>0</v>
      </c>
      <c r="X41" s="22">
        <f>IFERROR(SUMIFS(T_Fe[Perimetrales kg],T_Fe[Codigo],T_Info[[#This Row],[Codigo]])/SUMIFS(T_HA[Perimetrales m3],T_HA[Codigo],T_Info[[#This Row],[Codigo]]),)</f>
        <v>0</v>
      </c>
      <c r="Y41" s="22">
        <f>IFERROR(SUMIFS(T_Fe[Vigas kg],T_Fe[Codigo],T_Info[[#This Row],[Codigo]])/SUMIFS(T_HA[Vigas m3],T_HA[Codigo],T_Info[[#This Row],[Codigo]]),)</f>
        <v>128.67747048102018</v>
      </c>
      <c r="Z41" s="50">
        <f>IFERROR(SUMIFS(T_Fe[Losas kg],T_Fe[Codigo],T_Info[[#This Row],[Codigo]])/SUMIFS(T_HA[Losas m3],T_HA[Codigo],T_Info[[#This Row],[Codigo]]),)</f>
        <v>63.2128999242736</v>
      </c>
      <c r="AA41" s="49">
        <f>SUMIFS(T_Fe[Fund kg/m2],T_Fe[Codigo],T_Info[[#This Row],[Codigo]])</f>
        <v>3.2</v>
      </c>
      <c r="AB41" s="22">
        <f>SUMIFS(T_Fe[Muros kg/m2],T_Fe[Codigo],T_Info[[#This Row],[Codigo]])</f>
        <v>16.5</v>
      </c>
      <c r="AC41" s="22">
        <f>SUMIFS(T_Fe[Perimetrales kg/m2],T_Fe[Codigo],T_Info[[#This Row],[Codigo]])</f>
        <v>0</v>
      </c>
      <c r="AD41" s="22">
        <f>SUMIFS(T_Fe[Vigas kg/m2],T_Fe[Codigo],T_Info[[#This Row],[Codigo]])</f>
        <v>2</v>
      </c>
      <c r="AE41" s="50">
        <f>SUMIFS(T_Fe[Losas kg/m2],T_Fe[Codigo],T_Info[[#This Row],[Codigo]])</f>
        <v>13.130007832188717</v>
      </c>
      <c r="AF41" s="49">
        <f>IFERROR(SUMIFS(T_HA[Fund m3/m2],T_HA[Codigo],T_Info[[#This Row],[Codigo]]),)</f>
        <v>5.6700996008698219E-2</v>
      </c>
      <c r="AG41" s="22">
        <f>IFERROR(SUMIFS(T_HA[Muros Int m3/m2],T_HA[Codigo],T_Info[[#This Row],[Codigo]]),)</f>
        <v>0</v>
      </c>
      <c r="AH41" s="22">
        <f>IFERROR(SUMIFS(T_HA[Perimetrales m3/m2],T_HA[Codigo],T_Info[[#This Row],[Codigo]]),)</f>
        <v>0</v>
      </c>
      <c r="AI41" s="22">
        <f>IFERROR(SUMIFS(T_HA[Vigas m3/m2],T_HA[Codigo],T_Info[[#This Row],[Codigo]]),)</f>
        <v>1.55427363665421E-2</v>
      </c>
      <c r="AJ41" s="50">
        <f>IFERROR(SUMIFS(T_HA[Losas m3/m2],T_HA[Codigo],T_Info[[#This Row],[Codigo]]),)</f>
        <v>0.20771089204763452</v>
      </c>
      <c r="AK41" s="22">
        <f>IFERROR(SUMIFS(T_HA[Fund m3],T_HA[Codigo],T_Info[[#This Row],[Codigo]])/SUMIFS(T_MLD[Fund Lat m2],T_MLD[Codigo],T_Info[[#This Row],[Codigo]]),)</f>
        <v>0</v>
      </c>
      <c r="AL41" s="22">
        <f>IFERROR(SUMIFS(T_HA[Muros m3],T_HA[Codigo],T_Info[[#This Row],[Codigo]])/SUMIFS(T_MLD[Muro m2],T_MLD[Codigo],T_Info[[#This Row],[Codigo]]),)</f>
        <v>0</v>
      </c>
      <c r="AM41" s="22">
        <f>IFERROR(SUMIFS(T_HA[Vigas m3],T_HA[Codigo],T_Info[[#This Row],[Codigo]])/(SUMIFS(T_MLD[Viga Lat m2],T_MLD[Codigo],T_Info[[#This Row],[Codigo]])+SUMIFS(T_MLD[Viga Fondo m2],T_MLD[Codigo],T_Info[[#This Row],[Codigo]])),)</f>
        <v>0</v>
      </c>
      <c r="AN41" s="22">
        <f>IFERROR(SUMIFS(T_HA[Losas m3],T_HA[Codigo],T_Info[[#This Row],[Codigo]])/(SUMIFS(T_MLD[Losa Fondo m2],T_MLD[Codigo],T_Info[[#This Row],[Codigo]])+SUMIFS(T_MLD[Rebalse m2],T_MLD[Codigo],T_Info[[#This Row],[Codigo]])),)</f>
        <v>0</v>
      </c>
      <c r="AO41" s="49">
        <f>IFERROR(SUMIFS(T_MLD[Fund Lat m2],T_MLD[Codigo],T_Info[[#This Row],[Codigo]])/T_Info[[#This Row],[Superficie m2]],)</f>
        <v>0</v>
      </c>
      <c r="AP41" s="22">
        <f>IFERROR(SUMIFS(T_MLD[Muro m2],T_MLD[Codigo],T_Info[[#This Row],[Codigo]])/T_Info[[#This Row],[Superficie m2]],)</f>
        <v>0</v>
      </c>
      <c r="AQ41" s="22">
        <f>IFERROR((SUMIFS(T_MLD[Viga Lat m2],T_MLD[Codigo],T_Info[[#This Row],[Codigo]])+SUMIFS(T_MLD[Viga Fondo m2],T_MLD[Codigo],T_Info[[#This Row],[Codigo]]))/T_Info[[#This Row],[Superficie m2]],)</f>
        <v>0</v>
      </c>
      <c r="AR41" s="50">
        <f>IFERROR((SUMIFS(T_MLD[Losa Fondo m2],T_MLD[Codigo],T_Info[[#This Row],[Codigo]])+SUMIFS(T_MLD[Rebalse m2],T_MLD[Codigo],T_Info[[#This Row],[Codigo]]))/T_Info[[#This Row],[Superficie m2]],)</f>
        <v>0</v>
      </c>
    </row>
    <row r="42" spans="1:44" x14ac:dyDescent="0.25">
      <c r="A42" s="52">
        <v>41</v>
      </c>
      <c r="B42" s="34">
        <v>18006</v>
      </c>
      <c r="C42" s="46" t="s">
        <v>26</v>
      </c>
      <c r="D42" s="6" t="s">
        <v>255</v>
      </c>
      <c r="E42" s="45" t="s">
        <v>85</v>
      </c>
      <c r="F42" s="34">
        <v>3</v>
      </c>
      <c r="G42" s="34">
        <v>19</v>
      </c>
      <c r="H42" s="34">
        <v>3</v>
      </c>
      <c r="I42" s="33">
        <v>17423.97</v>
      </c>
      <c r="J42" s="30"/>
      <c r="K42" s="53"/>
      <c r="L42" s="46"/>
      <c r="M42" s="47">
        <f>SUMIFS(T_Fe[Total kg],T_Fe[Codigo],T_Info[[#This Row],[Codigo]])</f>
        <v>1022231.0700000001</v>
      </c>
      <c r="N42" s="33">
        <f>SUMIFS(T_HA[Total m3],T_HA[Codigo],T_Info[[#This Row],[Codigo]])</f>
        <v>4214.2399999999989</v>
      </c>
      <c r="O42" s="48">
        <f>SUMIFS(T_MLD[Total m2],T_MLD[Codigo],T_Info[[#This Row],[Codigo]])</f>
        <v>82981.899999999994</v>
      </c>
      <c r="P42" s="49">
        <f>IFERROR(T_Info[[#This Row],[Fe (kg)]]/T_Info[[#This Row],[HA (m3)]],)</f>
        <v>242.56593596947499</v>
      </c>
      <c r="Q42" s="22">
        <f>IFERROR(T_Info[[#This Row],[Fe (kg)]]/T_Info[[#This Row],[Superficie m2]],)</f>
        <v>58.668091715033945</v>
      </c>
      <c r="R42" s="22">
        <f>IFERROR(T_Info[[#This Row],[HA (m3)]]/T_Info[[#This Row],[Superficie m2]],)</f>
        <v>0.24186451193384736</v>
      </c>
      <c r="S42" s="22">
        <f>IFERROR(T_Info[[#This Row],[HA (m3)]]/T_Info[[#This Row],[MLD (m2)]],)</f>
        <v>5.0785050715878993E-2</v>
      </c>
      <c r="T42" s="50">
        <f>IFERROR(T_Info[[#This Row],[MLD (m2)]]/T_Info[[#This Row],[Superficie m2]],)</f>
        <v>4.7625139391309785</v>
      </c>
      <c r="U42" s="49">
        <f>IFERROR(SUMIFS(T_Fe[Fund kg],T_Fe[Codigo],T_Info[[#This Row],[Codigo]])/SUMIFS(T_HA[Fund m3],T_HA[Codigo],T_Info[[#This Row],[Codigo]]),)</f>
        <v>0</v>
      </c>
      <c r="V42" s="22">
        <f>IFERROR(SUMIFS(T_Fe[Grua kg],T_Fe[Codigo],T_Info[[#This Row],[Codigo]])/SUMIFS(T_HA[Grua m3],T_HA[Codigo],T_Info[[#This Row],[Codigo]]),)</f>
        <v>0</v>
      </c>
      <c r="W42" s="22">
        <f>IFERROR(SUMIFS(T_Fe[Muros kg],T_Fe[Codigo],T_Info[[#This Row],[Codigo]])/SUMIFS(T_HA[Muros Int m3],T_HA[Codigo],T_Info[[#This Row],[Codigo]]),)</f>
        <v>0</v>
      </c>
      <c r="X42" s="22">
        <f>IFERROR(SUMIFS(T_Fe[Perimetrales kg],T_Fe[Codigo],T_Info[[#This Row],[Codigo]])/SUMIFS(T_HA[Perimetrales m3],T_HA[Codigo],T_Info[[#This Row],[Codigo]]),)</f>
        <v>0</v>
      </c>
      <c r="Y42" s="22">
        <f>IFERROR(SUMIFS(T_Fe[Vigas kg],T_Fe[Codigo],T_Info[[#This Row],[Codigo]])/SUMIFS(T_HA[Vigas m3],T_HA[Codigo],T_Info[[#This Row],[Codigo]]),)</f>
        <v>295.014343253395</v>
      </c>
      <c r="Z42" s="50">
        <f>IFERROR(SUMIFS(T_Fe[Losas kg],T_Fe[Codigo],T_Info[[#This Row],[Codigo]])/SUMIFS(T_HA[Losas m3],T_HA[Codigo],T_Info[[#This Row],[Codigo]]),)</f>
        <v>57.063200918270809</v>
      </c>
      <c r="AA42" s="49">
        <f>SUMIFS(T_Fe[Fund kg/m2],T_Fe[Codigo],T_Info[[#This Row],[Codigo]])</f>
        <v>7.01</v>
      </c>
      <c r="AB42" s="22">
        <f>SUMIFS(T_Fe[Muros kg/m2],T_Fe[Codigo],T_Info[[#This Row],[Codigo]])</f>
        <v>33.130000000000003</v>
      </c>
      <c r="AC42" s="22">
        <f>SUMIFS(T_Fe[Perimetrales kg/m2],T_Fe[Codigo],T_Info[[#This Row],[Codigo]])</f>
        <v>0</v>
      </c>
      <c r="AD42" s="22">
        <f>SUMIFS(T_Fe[Vigas kg/m2],T_Fe[Codigo],T_Info[[#This Row],[Codigo]])</f>
        <v>5.86</v>
      </c>
      <c r="AE42" s="50">
        <f>SUMIFS(T_Fe[Losas kg/m2],T_Fe[Codigo],T_Info[[#This Row],[Codigo]])</f>
        <v>12.668091715033944</v>
      </c>
      <c r="AF42" s="49">
        <f>IFERROR(SUMIFS(T_HA[Fund m3/m2],T_HA[Codigo],T_Info[[#This Row],[Codigo]]),)</f>
        <v>0</v>
      </c>
      <c r="AG42" s="22">
        <f>IFERROR(SUMIFS(T_HA[Muros Int m3/m2],T_HA[Codigo],T_Info[[#This Row],[Codigo]]),)</f>
        <v>0</v>
      </c>
      <c r="AH42" s="22">
        <f>IFERROR(SUMIFS(T_HA[Perimetrales m3/m2],T_HA[Codigo],T_Info[[#This Row],[Codigo]]),)</f>
        <v>0</v>
      </c>
      <c r="AI42" s="22">
        <f>IFERROR(SUMIFS(T_HA[Vigas m3/m2],T_HA[Codigo],T_Info[[#This Row],[Codigo]]),)</f>
        <v>1.9863440995364433E-2</v>
      </c>
      <c r="AJ42" s="50">
        <f>IFERROR(SUMIFS(T_HA[Losas m3/m2],T_HA[Codigo],T_Info[[#This Row],[Codigo]]),)</f>
        <v>0.22200107093848295</v>
      </c>
      <c r="AK42" s="22">
        <f>IFERROR(SUMIFS(T_HA[Fund m3],T_HA[Codigo],T_Info[[#This Row],[Codigo]])/SUMIFS(T_MLD[Fund Lat m2],T_MLD[Codigo],T_Info[[#This Row],[Codigo]]),)</f>
        <v>0</v>
      </c>
      <c r="AL42" s="22">
        <f>IFERROR(SUMIFS(T_HA[Muros m3],T_HA[Codigo],T_Info[[#This Row],[Codigo]])/SUMIFS(T_MLD[Muro m2],T_MLD[Codigo],T_Info[[#This Row],[Codigo]]),)</f>
        <v>0</v>
      </c>
      <c r="AM42" s="22">
        <f>IFERROR(SUMIFS(T_HA[Vigas m3],T_HA[Codigo],T_Info[[#This Row],[Codigo]])/(SUMIFS(T_MLD[Viga Lat m2],T_MLD[Codigo],T_Info[[#This Row],[Codigo]])+SUMIFS(T_MLD[Viga Fondo m2],T_MLD[Codigo],T_Info[[#This Row],[Codigo]])),)</f>
        <v>0</v>
      </c>
      <c r="AN42" s="22">
        <f>IFERROR(SUMIFS(T_HA[Losas m3],T_HA[Codigo],T_Info[[#This Row],[Codigo]])/(SUMIFS(T_MLD[Losa Fondo m2],T_MLD[Codigo],T_Info[[#This Row],[Codigo]])+SUMIFS(T_MLD[Rebalse m2],T_MLD[Codigo],T_Info[[#This Row],[Codigo]])),)</f>
        <v>0</v>
      </c>
      <c r="AO42" s="49">
        <f>IFERROR(SUMIFS(T_MLD[Fund Lat m2],T_MLD[Codigo],T_Info[[#This Row],[Codigo]])/T_Info[[#This Row],[Superficie m2]],)</f>
        <v>0</v>
      </c>
      <c r="AP42" s="22">
        <f>IFERROR(SUMIFS(T_MLD[Muro m2],T_MLD[Codigo],T_Info[[#This Row],[Codigo]])/T_Info[[#This Row],[Superficie m2]],)</f>
        <v>0</v>
      </c>
      <c r="AQ42" s="22">
        <f>IFERROR((SUMIFS(T_MLD[Viga Lat m2],T_MLD[Codigo],T_Info[[#This Row],[Codigo]])+SUMIFS(T_MLD[Viga Fondo m2],T_MLD[Codigo],T_Info[[#This Row],[Codigo]]))/T_Info[[#This Row],[Superficie m2]],)</f>
        <v>0</v>
      </c>
      <c r="AR42" s="50">
        <f>IFERROR((SUMIFS(T_MLD[Losa Fondo m2],T_MLD[Codigo],T_Info[[#This Row],[Codigo]])+SUMIFS(T_MLD[Rebalse m2],T_MLD[Codigo],T_Info[[#This Row],[Codigo]]))/T_Info[[#This Row],[Superficie m2]],)</f>
        <v>0</v>
      </c>
    </row>
    <row r="43" spans="1:44" x14ac:dyDescent="0.25">
      <c r="A43" s="52">
        <v>42</v>
      </c>
      <c r="B43" s="34">
        <v>18007</v>
      </c>
      <c r="C43" s="46" t="s">
        <v>27</v>
      </c>
      <c r="D43" s="6" t="s">
        <v>254</v>
      </c>
      <c r="E43" s="45" t="s">
        <v>80</v>
      </c>
      <c r="F43" s="34">
        <v>2</v>
      </c>
      <c r="G43" s="34">
        <v>14</v>
      </c>
      <c r="H43" s="34">
        <v>3</v>
      </c>
      <c r="I43" s="33">
        <v>12532.51</v>
      </c>
      <c r="J43" s="30"/>
      <c r="K43" s="53"/>
      <c r="L43" s="46"/>
      <c r="M43" s="47">
        <f>SUMIFS(T_Fe[Total kg],T_Fe[Codigo],T_Info[[#This Row],[Codigo]])</f>
        <v>385580.36981167691</v>
      </c>
      <c r="N43" s="33">
        <f>SUMIFS(T_HA[Total m3],T_HA[Codigo],T_Info[[#This Row],[Codigo]])</f>
        <v>2680.16</v>
      </c>
      <c r="O43" s="48">
        <f>SUMIFS(T_MLD[Total m2],T_MLD[Codigo],T_Info[[#This Row],[Codigo]])</f>
        <v>28140.294589220437</v>
      </c>
      <c r="P43" s="49">
        <f>IFERROR(T_Info[[#This Row],[Fe (kg)]]/T_Info[[#This Row],[HA (m3)]],)</f>
        <v>143.86468338146861</v>
      </c>
      <c r="Q43" s="22">
        <f>IFERROR(T_Info[[#This Row],[Fe (kg)]]/T_Info[[#This Row],[Superficie m2]],)</f>
        <v>30.766412299824768</v>
      </c>
      <c r="R43" s="22">
        <f>IFERROR(T_Info[[#This Row],[HA (m3)]]/T_Info[[#This Row],[Superficie m2]],)</f>
        <v>0.21385660175016816</v>
      </c>
      <c r="S43" s="22">
        <f>IFERROR(T_Info[[#This Row],[HA (m3)]]/T_Info[[#This Row],[MLD (m2)]],)</f>
        <v>9.5242784026385974E-2</v>
      </c>
      <c r="T43" s="50">
        <f>IFERROR(T_Info[[#This Row],[MLD (m2)]]/T_Info[[#This Row],[Superficie m2]],)</f>
        <v>2.2453837730207624</v>
      </c>
      <c r="U43" s="49">
        <f>IFERROR(SUMIFS(T_Fe[Fund kg],T_Fe[Codigo],T_Info[[#This Row],[Codigo]])/SUMIFS(T_HA[Fund m3],T_HA[Codigo],T_Info[[#This Row],[Codigo]]),)</f>
        <v>26.663969362788553</v>
      </c>
      <c r="V43" s="22">
        <f>IFERROR(SUMIFS(T_Fe[Grua kg],T_Fe[Codigo],T_Info[[#This Row],[Codigo]])/SUMIFS(T_HA[Grua m3],T_HA[Codigo],T_Info[[#This Row],[Codigo]]),)</f>
        <v>0</v>
      </c>
      <c r="W43" s="22">
        <f>IFERROR(SUMIFS(T_Fe[Muros kg],T_Fe[Codigo],T_Info[[#This Row],[Codigo]])/SUMIFS(T_HA[Muros Int m3],T_HA[Codigo],T_Info[[#This Row],[Codigo]]),)</f>
        <v>0</v>
      </c>
      <c r="X43" s="22">
        <f>IFERROR(SUMIFS(T_Fe[Perimetrales kg],T_Fe[Codigo],T_Info[[#This Row],[Codigo]])/SUMIFS(T_HA[Perimetrales m3],T_HA[Codigo],T_Info[[#This Row],[Codigo]]),)</f>
        <v>0</v>
      </c>
      <c r="Y43" s="22">
        <f>IFERROR(SUMIFS(T_Fe[Vigas kg],T_Fe[Codigo],T_Info[[#This Row],[Codigo]])/SUMIFS(T_HA[Vigas m3],T_HA[Codigo],T_Info[[#This Row],[Codigo]]),)</f>
        <v>187.5713331386435</v>
      </c>
      <c r="Z43" s="50">
        <f>IFERROR(SUMIFS(T_Fe[Losas kg],T_Fe[Codigo],T_Info[[#This Row],[Codigo]])/SUMIFS(T_HA[Losas m3],T_HA[Codigo],T_Info[[#This Row],[Codigo]]),)</f>
        <v>78.800763913020333</v>
      </c>
      <c r="AA43" s="49">
        <f>SUMIFS(T_Fe[Fund kg/m2],T_Fe[Codigo],T_Info[[#This Row],[Codigo]])</f>
        <v>0.6</v>
      </c>
      <c r="AB43" s="22">
        <f>SUMIFS(T_Fe[Muros kg/m2],T_Fe[Codigo],T_Info[[#This Row],[Codigo]])</f>
        <v>12.71</v>
      </c>
      <c r="AC43" s="22">
        <f>SUMIFS(T_Fe[Perimetrales kg/m2],T_Fe[Codigo],T_Info[[#This Row],[Codigo]])</f>
        <v>0</v>
      </c>
      <c r="AD43" s="22">
        <f>SUMIFS(T_Fe[Vigas kg/m2],T_Fe[Codigo],T_Info[[#This Row],[Codigo]])</f>
        <v>4.0999999999999996</v>
      </c>
      <c r="AE43" s="50">
        <f>SUMIFS(T_Fe[Losas kg/m2],T_Fe[Codigo],T_Info[[#This Row],[Codigo]])</f>
        <v>13.35641229982477</v>
      </c>
      <c r="AF43" s="49">
        <f>IFERROR(SUMIFS(T_HA[Fund m3/m2],T_HA[Codigo],T_Info[[#This Row],[Codigo]]),)</f>
        <v>2.250227608037017E-2</v>
      </c>
      <c r="AG43" s="22">
        <f>IFERROR(SUMIFS(T_HA[Muros Int m3/m2],T_HA[Codigo],T_Info[[#This Row],[Codigo]]),)</f>
        <v>0</v>
      </c>
      <c r="AH43" s="22">
        <f>IFERROR(SUMIFS(T_HA[Perimetrales m3/m2],T_HA[Codigo],T_Info[[#This Row],[Codigo]]),)</f>
        <v>0</v>
      </c>
      <c r="AI43" s="22">
        <f>IFERROR(SUMIFS(T_HA[Vigas m3/m2],T_HA[Codigo],T_Info[[#This Row],[Codigo]]),)</f>
        <v>2.1858350801236145E-2</v>
      </c>
      <c r="AJ43" s="50">
        <f>IFERROR(SUMIFS(T_HA[Losas m3/m2],T_HA[Codigo],T_Info[[#This Row],[Codigo]]),)</f>
        <v>0.16949597486856186</v>
      </c>
      <c r="AK43" s="22">
        <f>IFERROR(SUMIFS(T_HA[Fund m3],T_HA[Codigo],T_Info[[#This Row],[Codigo]])/SUMIFS(T_MLD[Fund Lat m2],T_MLD[Codigo],T_Info[[#This Row],[Codigo]]),)</f>
        <v>0</v>
      </c>
      <c r="AL43" s="22">
        <f>IFERROR(SUMIFS(T_HA[Muros m3],T_HA[Codigo],T_Info[[#This Row],[Codigo]])/SUMIFS(T_MLD[Muro m2],T_MLD[Codigo],T_Info[[#This Row],[Codigo]]),)</f>
        <v>0</v>
      </c>
      <c r="AM43" s="22">
        <f>IFERROR(SUMIFS(T_HA[Vigas m3],T_HA[Codigo],T_Info[[#This Row],[Codigo]])/(SUMIFS(T_MLD[Viga Lat m2],T_MLD[Codigo],T_Info[[#This Row],[Codigo]])+SUMIFS(T_MLD[Viga Fondo m2],T_MLD[Codigo],T_Info[[#This Row],[Codigo]])),)</f>
        <v>0</v>
      </c>
      <c r="AN43" s="22">
        <f>IFERROR(SUMIFS(T_HA[Losas m3],T_HA[Codigo],T_Info[[#This Row],[Codigo]])/(SUMIFS(T_MLD[Losa Fondo m2],T_MLD[Codigo],T_Info[[#This Row],[Codigo]])+SUMIFS(T_MLD[Rebalse m2],T_MLD[Codigo],T_Info[[#This Row],[Codigo]])),)</f>
        <v>0</v>
      </c>
      <c r="AO43" s="49">
        <f>IFERROR(SUMIFS(T_MLD[Fund Lat m2],T_MLD[Codigo],T_Info[[#This Row],[Codigo]])/T_Info[[#This Row],[Superficie m2]],)</f>
        <v>0</v>
      </c>
      <c r="AP43" s="22">
        <f>IFERROR(SUMIFS(T_MLD[Muro m2],T_MLD[Codigo],T_Info[[#This Row],[Codigo]])/T_Info[[#This Row],[Superficie m2]],)</f>
        <v>0</v>
      </c>
      <c r="AQ43" s="22">
        <f>IFERROR((SUMIFS(T_MLD[Viga Lat m2],T_MLD[Codigo],T_Info[[#This Row],[Codigo]])+SUMIFS(T_MLD[Viga Fondo m2],T_MLD[Codigo],T_Info[[#This Row],[Codigo]]))/T_Info[[#This Row],[Superficie m2]],)</f>
        <v>0</v>
      </c>
      <c r="AR43" s="50">
        <f>IFERROR((SUMIFS(T_MLD[Losa Fondo m2],T_MLD[Codigo],T_Info[[#This Row],[Codigo]])+SUMIFS(T_MLD[Rebalse m2],T_MLD[Codigo],T_Info[[#This Row],[Codigo]]))/T_Info[[#This Row],[Superficie m2]],)</f>
        <v>0</v>
      </c>
    </row>
    <row r="44" spans="1:44" x14ac:dyDescent="0.25">
      <c r="A44" s="52">
        <v>43</v>
      </c>
      <c r="B44" s="34">
        <v>18039</v>
      </c>
      <c r="C44" s="46" t="s">
        <v>28</v>
      </c>
      <c r="D44" s="6" t="s">
        <v>254</v>
      </c>
      <c r="E44" s="45" t="s">
        <v>80</v>
      </c>
      <c r="F44" s="34">
        <v>2</v>
      </c>
      <c r="G44" s="34">
        <v>15</v>
      </c>
      <c r="H44" s="34">
        <v>2</v>
      </c>
      <c r="I44" s="33">
        <v>10710.52</v>
      </c>
      <c r="J44" s="30"/>
      <c r="K44" s="53"/>
      <c r="L44" s="46"/>
      <c r="M44" s="47">
        <f>SUMIFS(T_Fe[Total kg],T_Fe[Codigo],T_Info[[#This Row],[Codigo]])</f>
        <v>361991.56807545584</v>
      </c>
      <c r="N44" s="33">
        <f>SUMIFS(T_HA[Total m3],T_HA[Codigo],T_Info[[#This Row],[Codigo]])</f>
        <v>2340.0499999999997</v>
      </c>
      <c r="O44" s="48">
        <f>SUMIFS(T_MLD[Total m2],T_MLD[Codigo],T_Info[[#This Row],[Codigo]])</f>
        <v>26677.05</v>
      </c>
      <c r="P44" s="49">
        <f>IFERROR(T_Info[[#This Row],[Fe (kg)]]/T_Info[[#This Row],[HA (m3)]],)</f>
        <v>154.6939458881032</v>
      </c>
      <c r="Q44" s="22">
        <f>IFERROR(T_Info[[#This Row],[Fe (kg)]]/T_Info[[#This Row],[Superficie m2]],)</f>
        <v>33.797758472553696</v>
      </c>
      <c r="R44" s="22">
        <f>IFERROR(T_Info[[#This Row],[HA (m3)]]/T_Info[[#This Row],[Superficie m2]],)</f>
        <v>0.21848145561560034</v>
      </c>
      <c r="S44" s="22">
        <f>IFERROR(T_Info[[#This Row],[HA (m3)]]/T_Info[[#This Row],[MLD (m2)]],)</f>
        <v>8.7717719912808939E-2</v>
      </c>
      <c r="T44" s="50">
        <f>IFERROR(T_Info[[#This Row],[MLD (m2)]]/T_Info[[#This Row],[Superficie m2]],)</f>
        <v>2.4907334097690867</v>
      </c>
      <c r="U44" s="49">
        <f>IFERROR(SUMIFS(T_Fe[Fund kg],T_Fe[Codigo],T_Info[[#This Row],[Codigo]])/SUMIFS(T_HA[Fund m3],T_HA[Codigo],T_Info[[#This Row],[Codigo]]),)</f>
        <v>25.298543791241759</v>
      </c>
      <c r="V44" s="22">
        <f>IFERROR(SUMIFS(T_Fe[Grua kg],T_Fe[Codigo],T_Info[[#This Row],[Codigo]])/SUMIFS(T_HA[Grua m3],T_HA[Codigo],T_Info[[#This Row],[Codigo]]),)</f>
        <v>0</v>
      </c>
      <c r="W44" s="22">
        <f>IFERROR(SUMIFS(T_Fe[Muros kg],T_Fe[Codigo],T_Info[[#This Row],[Codigo]])/SUMIFS(T_HA[Muros Int m3],T_HA[Codigo],T_Info[[#This Row],[Codigo]]),)</f>
        <v>0</v>
      </c>
      <c r="X44" s="22">
        <f>IFERROR(SUMIFS(T_Fe[Perimetrales kg],T_Fe[Codigo],T_Info[[#This Row],[Codigo]])/SUMIFS(T_HA[Perimetrales m3],T_HA[Codigo],T_Info[[#This Row],[Codigo]]),)</f>
        <v>0</v>
      </c>
      <c r="Y44" s="22">
        <f>IFERROR(SUMIFS(T_Fe[Vigas kg],T_Fe[Codigo],T_Info[[#This Row],[Codigo]])/SUMIFS(T_HA[Vigas m3],T_HA[Codigo],T_Info[[#This Row],[Codigo]]),)</f>
        <v>147.49845030695207</v>
      </c>
      <c r="Z44" s="50">
        <f>IFERROR(SUMIFS(T_Fe[Losas kg],T_Fe[Codigo],T_Info[[#This Row],[Codigo]])/SUMIFS(T_HA[Losas m3],T_HA[Codigo],T_Info[[#This Row],[Codigo]]),)</f>
        <v>83.501834426130642</v>
      </c>
      <c r="AA44" s="49">
        <f>SUMIFS(T_Fe[Fund kg/m2],T_Fe[Codigo],T_Info[[#This Row],[Codigo]])</f>
        <v>0.63</v>
      </c>
      <c r="AB44" s="22">
        <f>SUMIFS(T_Fe[Muros kg/m2],T_Fe[Codigo],T_Info[[#This Row],[Codigo]])</f>
        <v>15.01</v>
      </c>
      <c r="AC44" s="22">
        <f>SUMIFS(T_Fe[Perimetrales kg/m2],T_Fe[Codigo],T_Info[[#This Row],[Codigo]])</f>
        <v>0</v>
      </c>
      <c r="AD44" s="22">
        <f>SUMIFS(T_Fe[Vigas kg/m2],T_Fe[Codigo],T_Info[[#This Row],[Codigo]])</f>
        <v>4.9800000000000004</v>
      </c>
      <c r="AE44" s="50">
        <f>SUMIFS(T_Fe[Losas kg/m2],T_Fe[Codigo],T_Info[[#This Row],[Codigo]])</f>
        <v>13.177758472553696</v>
      </c>
      <c r="AF44" s="49">
        <f>IFERROR(SUMIFS(T_HA[Fund m3/m2],T_HA[Codigo],T_Info[[#This Row],[Codigo]]),)</f>
        <v>2.4902619107195538E-2</v>
      </c>
      <c r="AG44" s="22">
        <f>IFERROR(SUMIFS(T_HA[Muros Int m3/m2],T_HA[Codigo],T_Info[[#This Row],[Codigo]]),)</f>
        <v>0</v>
      </c>
      <c r="AH44" s="22">
        <f>IFERROR(SUMIFS(T_HA[Perimetrales m3/m2],T_HA[Codigo],T_Info[[#This Row],[Codigo]]),)</f>
        <v>0</v>
      </c>
      <c r="AI44" s="22">
        <f>IFERROR(SUMIFS(T_HA[Vigas m3/m2],T_HA[Codigo],T_Info[[#This Row],[Codigo]]),)</f>
        <v>3.3763066592471698E-2</v>
      </c>
      <c r="AJ44" s="50">
        <f>IFERROR(SUMIFS(T_HA[Losas m3/m2],T_HA[Codigo],T_Info[[#This Row],[Codigo]]),)</f>
        <v>0.15781399969375903</v>
      </c>
      <c r="AK44" s="22">
        <f>IFERROR(SUMIFS(T_HA[Fund m3],T_HA[Codigo],T_Info[[#This Row],[Codigo]])/SUMIFS(T_MLD[Fund Lat m2],T_MLD[Codigo],T_Info[[#This Row],[Codigo]]),)</f>
        <v>0</v>
      </c>
      <c r="AL44" s="22">
        <f>IFERROR(SUMIFS(T_HA[Muros m3],T_HA[Codigo],T_Info[[#This Row],[Codigo]])/SUMIFS(T_MLD[Muro m2],T_MLD[Codigo],T_Info[[#This Row],[Codigo]]),)</f>
        <v>0</v>
      </c>
      <c r="AM44" s="22">
        <f>IFERROR(SUMIFS(T_HA[Vigas m3],T_HA[Codigo],T_Info[[#This Row],[Codigo]])/(SUMIFS(T_MLD[Viga Lat m2],T_MLD[Codigo],T_Info[[#This Row],[Codigo]])+SUMIFS(T_MLD[Viga Fondo m2],T_MLD[Codigo],T_Info[[#This Row],[Codigo]])),)</f>
        <v>0</v>
      </c>
      <c r="AN44" s="22">
        <f>IFERROR(SUMIFS(T_HA[Losas m3],T_HA[Codigo],T_Info[[#This Row],[Codigo]])/(SUMIFS(T_MLD[Losa Fondo m2],T_MLD[Codigo],T_Info[[#This Row],[Codigo]])+SUMIFS(T_MLD[Rebalse m2],T_MLD[Codigo],T_Info[[#This Row],[Codigo]])),)</f>
        <v>0</v>
      </c>
      <c r="AO44" s="49">
        <f>IFERROR(SUMIFS(T_MLD[Fund Lat m2],T_MLD[Codigo],T_Info[[#This Row],[Codigo]])/T_Info[[#This Row],[Superficie m2]],)</f>
        <v>0</v>
      </c>
      <c r="AP44" s="22">
        <f>IFERROR(SUMIFS(T_MLD[Muro m2],T_MLD[Codigo],T_Info[[#This Row],[Codigo]])/T_Info[[#This Row],[Superficie m2]],)</f>
        <v>0</v>
      </c>
      <c r="AQ44" s="22">
        <f>IFERROR((SUMIFS(T_MLD[Viga Lat m2],T_MLD[Codigo],T_Info[[#This Row],[Codigo]])+SUMIFS(T_MLD[Viga Fondo m2],T_MLD[Codigo],T_Info[[#This Row],[Codigo]]))/T_Info[[#This Row],[Superficie m2]],)</f>
        <v>0</v>
      </c>
      <c r="AR44" s="50">
        <f>IFERROR((SUMIFS(T_MLD[Losa Fondo m2],T_MLD[Codigo],T_Info[[#This Row],[Codigo]])+SUMIFS(T_MLD[Rebalse m2],T_MLD[Codigo],T_Info[[#This Row],[Codigo]]))/T_Info[[#This Row],[Superficie m2]],)</f>
        <v>0</v>
      </c>
    </row>
    <row r="45" spans="1:44" x14ac:dyDescent="0.25">
      <c r="A45" s="52">
        <v>44</v>
      </c>
      <c r="B45" s="34">
        <v>18044</v>
      </c>
      <c r="C45" s="46" t="s">
        <v>102</v>
      </c>
      <c r="D45" s="6" t="s">
        <v>255</v>
      </c>
      <c r="E45" s="45" t="s">
        <v>80</v>
      </c>
      <c r="F45" s="34">
        <v>2</v>
      </c>
      <c r="G45" s="34">
        <v>16</v>
      </c>
      <c r="H45" s="34">
        <v>1</v>
      </c>
      <c r="I45" s="33">
        <v>33962.75</v>
      </c>
      <c r="J45" s="30"/>
      <c r="K45" s="53"/>
      <c r="L45" s="46"/>
      <c r="M45" s="47">
        <f>SUMIFS(T_Fe[Total kg],T_Fe[Codigo],T_Info[[#This Row],[Codigo]])</f>
        <v>1003403.3269260931</v>
      </c>
      <c r="N45" s="33">
        <f>SUMIFS(T_HA[Total m3],T_HA[Codigo],T_Info[[#This Row],[Codigo]])</f>
        <v>0</v>
      </c>
      <c r="O45" s="48">
        <f>SUMIFS(T_MLD[Total m2],T_MLD[Codigo],T_Info[[#This Row],[Codigo]])</f>
        <v>0</v>
      </c>
      <c r="P45" s="49">
        <f>IFERROR(T_Info[[#This Row],[Fe (kg)]]/T_Info[[#This Row],[HA (m3)]],)</f>
        <v>0</v>
      </c>
      <c r="Q45" s="22">
        <f>IFERROR(T_Info[[#This Row],[Fe (kg)]]/T_Info[[#This Row],[Superficie m2]],)</f>
        <v>29.54423086841004</v>
      </c>
      <c r="R45" s="22">
        <f>IFERROR(T_Info[[#This Row],[HA (m3)]]/T_Info[[#This Row],[Superficie m2]],)</f>
        <v>0</v>
      </c>
      <c r="S45" s="22">
        <f>IFERROR(T_Info[[#This Row],[HA (m3)]]/T_Info[[#This Row],[MLD (m2)]],)</f>
        <v>0</v>
      </c>
      <c r="T45" s="50">
        <f>IFERROR(T_Info[[#This Row],[MLD (m2)]]/T_Info[[#This Row],[Superficie m2]],)</f>
        <v>0</v>
      </c>
      <c r="U45" s="49">
        <f>IFERROR(SUMIFS(T_Fe[Fund kg],T_Fe[Codigo],T_Info[[#This Row],[Codigo]])/SUMIFS(T_HA[Fund m3],T_HA[Codigo],T_Info[[#This Row],[Codigo]]),)</f>
        <v>0</v>
      </c>
      <c r="V45" s="22">
        <f>IFERROR(SUMIFS(T_Fe[Grua kg],T_Fe[Codigo],T_Info[[#This Row],[Codigo]])/SUMIFS(T_HA[Grua m3],T_HA[Codigo],T_Info[[#This Row],[Codigo]]),)</f>
        <v>0</v>
      </c>
      <c r="W45" s="22">
        <f>IFERROR(SUMIFS(T_Fe[Muros kg],T_Fe[Codigo],T_Info[[#This Row],[Codigo]])/SUMIFS(T_HA[Muros Int m3],T_HA[Codigo],T_Info[[#This Row],[Codigo]]),)</f>
        <v>0</v>
      </c>
      <c r="X45" s="22">
        <f>IFERROR(SUMIFS(T_Fe[Perimetrales kg],T_Fe[Codigo],T_Info[[#This Row],[Codigo]])/SUMIFS(T_HA[Perimetrales m3],T_HA[Codigo],T_Info[[#This Row],[Codigo]]),)</f>
        <v>0</v>
      </c>
      <c r="Y45" s="22">
        <f>IFERROR(SUMIFS(T_Fe[Vigas kg],T_Fe[Codigo],T_Info[[#This Row],[Codigo]])/SUMIFS(T_HA[Vigas m3],T_HA[Codigo],T_Info[[#This Row],[Codigo]]),)</f>
        <v>0</v>
      </c>
      <c r="Z45" s="50">
        <f>IFERROR(SUMIFS(T_Fe[Losas kg],T_Fe[Codigo],T_Info[[#This Row],[Codigo]])/SUMIFS(T_HA[Losas m3],T_HA[Codigo],T_Info[[#This Row],[Codigo]]),)</f>
        <v>0</v>
      </c>
      <c r="AA45" s="49">
        <f>SUMIFS(T_Fe[Fund kg/m2],T_Fe[Codigo],T_Info[[#This Row],[Codigo]])</f>
        <v>1.03</v>
      </c>
      <c r="AB45" s="22">
        <f>SUMIFS(T_Fe[Muros kg/m2],T_Fe[Codigo],T_Info[[#This Row],[Codigo]])</f>
        <v>13.7</v>
      </c>
      <c r="AC45" s="22">
        <f>SUMIFS(T_Fe[Perimetrales kg/m2],T_Fe[Codigo],T_Info[[#This Row],[Codigo]])</f>
        <v>0</v>
      </c>
      <c r="AD45" s="22">
        <f>SUMIFS(T_Fe[Vigas kg/m2],T_Fe[Codigo],T_Info[[#This Row],[Codigo]])</f>
        <v>2.11</v>
      </c>
      <c r="AE45" s="50">
        <f>SUMIFS(T_Fe[Losas kg/m2],T_Fe[Codigo],T_Info[[#This Row],[Codigo]])</f>
        <v>12.704230868410042</v>
      </c>
      <c r="AF45" s="49">
        <f>IFERROR(SUMIFS(T_HA[Fund m3/m2],T_HA[Codigo],T_Info[[#This Row],[Codigo]]),)</f>
        <v>0</v>
      </c>
      <c r="AG45" s="22">
        <f>IFERROR(SUMIFS(T_HA[Muros Int m3/m2],T_HA[Codigo],T_Info[[#This Row],[Codigo]]),)</f>
        <v>0</v>
      </c>
      <c r="AH45" s="22">
        <f>IFERROR(SUMIFS(T_HA[Perimetrales m3/m2],T_HA[Codigo],T_Info[[#This Row],[Codigo]]),)</f>
        <v>0</v>
      </c>
      <c r="AI45" s="22">
        <f>IFERROR(SUMIFS(T_HA[Vigas m3/m2],T_HA[Codigo],T_Info[[#This Row],[Codigo]]),)</f>
        <v>0</v>
      </c>
      <c r="AJ45" s="50">
        <f>IFERROR(SUMIFS(T_HA[Losas m3/m2],T_HA[Codigo],T_Info[[#This Row],[Codigo]]),)</f>
        <v>0</v>
      </c>
      <c r="AK45" s="22">
        <f>IFERROR(SUMIFS(T_HA[Fund m3],T_HA[Codigo],T_Info[[#This Row],[Codigo]])/SUMIFS(T_MLD[Fund Lat m2],T_MLD[Codigo],T_Info[[#This Row],[Codigo]]),)</f>
        <v>0</v>
      </c>
      <c r="AL45" s="22">
        <f>IFERROR(SUMIFS(T_HA[Muros m3],T_HA[Codigo],T_Info[[#This Row],[Codigo]])/SUMIFS(T_MLD[Muro m2],T_MLD[Codigo],T_Info[[#This Row],[Codigo]]),)</f>
        <v>0</v>
      </c>
      <c r="AM45" s="22">
        <f>IFERROR(SUMIFS(T_HA[Vigas m3],T_HA[Codigo],T_Info[[#This Row],[Codigo]])/(SUMIFS(T_MLD[Viga Lat m2],T_MLD[Codigo],T_Info[[#This Row],[Codigo]])+SUMIFS(T_MLD[Viga Fondo m2],T_MLD[Codigo],T_Info[[#This Row],[Codigo]])),)</f>
        <v>0</v>
      </c>
      <c r="AN45" s="22">
        <f>IFERROR(SUMIFS(T_HA[Losas m3],T_HA[Codigo],T_Info[[#This Row],[Codigo]])/(SUMIFS(T_MLD[Losa Fondo m2],T_MLD[Codigo],T_Info[[#This Row],[Codigo]])+SUMIFS(T_MLD[Rebalse m2],T_MLD[Codigo],T_Info[[#This Row],[Codigo]])),)</f>
        <v>0</v>
      </c>
      <c r="AO45" s="49">
        <f>IFERROR(SUMIFS(T_MLD[Fund Lat m2],T_MLD[Codigo],T_Info[[#This Row],[Codigo]])/T_Info[[#This Row],[Superficie m2]],)</f>
        <v>0</v>
      </c>
      <c r="AP45" s="22">
        <f>IFERROR(SUMIFS(T_MLD[Muro m2],T_MLD[Codigo],T_Info[[#This Row],[Codigo]])/T_Info[[#This Row],[Superficie m2]],)</f>
        <v>0</v>
      </c>
      <c r="AQ45" s="22">
        <f>IFERROR((SUMIFS(T_MLD[Viga Lat m2],T_MLD[Codigo],T_Info[[#This Row],[Codigo]])+SUMIFS(T_MLD[Viga Fondo m2],T_MLD[Codigo],T_Info[[#This Row],[Codigo]]))/T_Info[[#This Row],[Superficie m2]],)</f>
        <v>0</v>
      </c>
      <c r="AR45" s="50">
        <f>IFERROR((SUMIFS(T_MLD[Losa Fondo m2],T_MLD[Codigo],T_Info[[#This Row],[Codigo]])+SUMIFS(T_MLD[Rebalse m2],T_MLD[Codigo],T_Info[[#This Row],[Codigo]]))/T_Info[[#This Row],[Superficie m2]],)</f>
        <v>0</v>
      </c>
    </row>
    <row r="46" spans="1:44" x14ac:dyDescent="0.25">
      <c r="A46" s="52">
        <v>45</v>
      </c>
      <c r="B46" s="34">
        <v>18057</v>
      </c>
      <c r="C46" s="46" t="s">
        <v>30</v>
      </c>
      <c r="D46" s="6" t="s">
        <v>255</v>
      </c>
      <c r="E46" s="45" t="s">
        <v>85</v>
      </c>
      <c r="F46" s="34">
        <v>3</v>
      </c>
      <c r="G46" s="34">
        <v>17</v>
      </c>
      <c r="H46" s="34">
        <v>2</v>
      </c>
      <c r="I46" s="33">
        <v>10358.24</v>
      </c>
      <c r="J46" s="30"/>
      <c r="K46" s="53"/>
      <c r="L46" s="46"/>
      <c r="M46" s="47">
        <f>SUMIFS(T_Fe[Total kg],T_Fe[Codigo],T_Info[[#This Row],[Codigo]])</f>
        <v>541085.8709625015</v>
      </c>
      <c r="N46" s="33">
        <f>SUMIFS(T_HA[Total m3],T_HA[Codigo],T_Info[[#This Row],[Codigo]])</f>
        <v>2639.71</v>
      </c>
      <c r="O46" s="48">
        <f>SUMIFS(T_MLD[Total m2],T_MLD[Codigo],T_Info[[#This Row],[Codigo]])</f>
        <v>25806.320000000003</v>
      </c>
      <c r="P46" s="49">
        <f>IFERROR(T_Info[[#This Row],[Fe (kg)]]/T_Info[[#This Row],[HA (m3)]],)</f>
        <v>204.97928596796675</v>
      </c>
      <c r="Q46" s="22">
        <f>IFERROR(T_Info[[#This Row],[Fe (kg)]]/T_Info[[#This Row],[Superficie m2]],)</f>
        <v>52.237240203210341</v>
      </c>
      <c r="R46" s="22">
        <f>IFERROR(T_Info[[#This Row],[HA (m3)]]/T_Info[[#This Row],[Superficie m2]],)</f>
        <v>0.25484155609447168</v>
      </c>
      <c r="S46" s="22">
        <f>IFERROR(T_Info[[#This Row],[HA (m3)]]/T_Info[[#This Row],[MLD (m2)]],)</f>
        <v>0.10228928417534928</v>
      </c>
      <c r="T46" s="50">
        <f>IFERROR(T_Info[[#This Row],[MLD (m2)]]/T_Info[[#This Row],[Superficie m2]],)</f>
        <v>2.4913807751123747</v>
      </c>
      <c r="U46" s="49">
        <f>IFERROR(SUMIFS(T_Fe[Fund kg],T_Fe[Codigo],T_Info[[#This Row],[Codigo]])/SUMIFS(T_HA[Fund m3],T_HA[Codigo],T_Info[[#This Row],[Codigo]]),)</f>
        <v>0</v>
      </c>
      <c r="V46" s="22">
        <f>IFERROR(SUMIFS(T_Fe[Grua kg],T_Fe[Codigo],T_Info[[#This Row],[Codigo]])/SUMIFS(T_HA[Grua m3],T_HA[Codigo],T_Info[[#This Row],[Codigo]]),)</f>
        <v>0</v>
      </c>
      <c r="W46" s="22">
        <f>IFERROR(SUMIFS(T_Fe[Muros kg],T_Fe[Codigo],T_Info[[#This Row],[Codigo]])/SUMIFS(T_HA[Muros Int m3],T_HA[Codigo],T_Info[[#This Row],[Codigo]]),)</f>
        <v>0</v>
      </c>
      <c r="X46" s="22">
        <f>IFERROR(SUMIFS(T_Fe[Perimetrales kg],T_Fe[Codigo],T_Info[[#This Row],[Codigo]])/SUMIFS(T_HA[Perimetrales m3],T_HA[Codigo],T_Info[[#This Row],[Codigo]]),)</f>
        <v>0</v>
      </c>
      <c r="Y46" s="22">
        <f>IFERROR(SUMIFS(T_Fe[Vigas kg],T_Fe[Codigo],T_Info[[#This Row],[Codigo]])/SUMIFS(T_HA[Vigas m3],T_HA[Codigo],T_Info[[#This Row],[Codigo]]),)</f>
        <v>217.02568946165039</v>
      </c>
      <c r="Z46" s="50">
        <f>IFERROR(SUMIFS(T_Fe[Losas kg],T_Fe[Codigo],T_Info[[#This Row],[Codigo]])/SUMIFS(T_HA[Losas m3],T_HA[Codigo],T_Info[[#This Row],[Codigo]]),)</f>
        <v>59.266596876615765</v>
      </c>
      <c r="AA46" s="49">
        <f>SUMIFS(T_Fe[Fund kg/m2],T_Fe[Codigo],T_Info[[#This Row],[Codigo]])</f>
        <v>6.22</v>
      </c>
      <c r="AB46" s="22">
        <f>SUMIFS(T_Fe[Muros kg/m2],T_Fe[Codigo],T_Info[[#This Row],[Codigo]])</f>
        <v>27.25</v>
      </c>
      <c r="AC46" s="22">
        <f>SUMIFS(T_Fe[Perimetrales kg/m2],T_Fe[Codigo],T_Info[[#This Row],[Codigo]])</f>
        <v>0</v>
      </c>
      <c r="AD46" s="22">
        <f>SUMIFS(T_Fe[Vigas kg/m2],T_Fe[Codigo],T_Info[[#This Row],[Codigo]])</f>
        <v>5.04</v>
      </c>
      <c r="AE46" s="50">
        <f>SUMIFS(T_Fe[Losas kg/m2],T_Fe[Codigo],T_Info[[#This Row],[Codigo]])</f>
        <v>13.727240203210339</v>
      </c>
      <c r="AF46" s="49">
        <f>IFERROR(SUMIFS(T_HA[Fund m3/m2],T_HA[Codigo],T_Info[[#This Row],[Codigo]]),)</f>
        <v>0</v>
      </c>
      <c r="AG46" s="22">
        <f>IFERROR(SUMIFS(T_HA[Muros Int m3/m2],T_HA[Codigo],T_Info[[#This Row],[Codigo]]),)</f>
        <v>0</v>
      </c>
      <c r="AH46" s="22">
        <f>IFERROR(SUMIFS(T_HA[Perimetrales m3/m2],T_HA[Codigo],T_Info[[#This Row],[Codigo]]),)</f>
        <v>0</v>
      </c>
      <c r="AI46" s="22">
        <f>IFERROR(SUMIFS(T_HA[Vigas m3/m2],T_HA[Codigo],T_Info[[#This Row],[Codigo]]),)</f>
        <v>2.3223057198906379E-2</v>
      </c>
      <c r="AJ46" s="50">
        <f>IFERROR(SUMIFS(T_HA[Losas m3/m2],T_HA[Codigo],T_Info[[#This Row],[Codigo]]),)</f>
        <v>0.23161849889556527</v>
      </c>
      <c r="AK46" s="22">
        <f>IFERROR(SUMIFS(T_HA[Fund m3],T_HA[Codigo],T_Info[[#This Row],[Codigo]])/SUMIFS(T_MLD[Fund Lat m2],T_MLD[Codigo],T_Info[[#This Row],[Codigo]]),)</f>
        <v>0</v>
      </c>
      <c r="AL46" s="22">
        <f>IFERROR(SUMIFS(T_HA[Muros m3],T_HA[Codigo],T_Info[[#This Row],[Codigo]])/SUMIFS(T_MLD[Muro m2],T_MLD[Codigo],T_Info[[#This Row],[Codigo]]),)</f>
        <v>0</v>
      </c>
      <c r="AM46" s="22">
        <f>IFERROR(SUMIFS(T_HA[Vigas m3],T_HA[Codigo],T_Info[[#This Row],[Codigo]])/(SUMIFS(T_MLD[Viga Lat m2],T_MLD[Codigo],T_Info[[#This Row],[Codigo]])+SUMIFS(T_MLD[Viga Fondo m2],T_MLD[Codigo],T_Info[[#This Row],[Codigo]])),)</f>
        <v>0</v>
      </c>
      <c r="AN46" s="22">
        <f>IFERROR(SUMIFS(T_HA[Losas m3],T_HA[Codigo],T_Info[[#This Row],[Codigo]])/(SUMIFS(T_MLD[Losa Fondo m2],T_MLD[Codigo],T_Info[[#This Row],[Codigo]])+SUMIFS(T_MLD[Rebalse m2],T_MLD[Codigo],T_Info[[#This Row],[Codigo]])),)</f>
        <v>0</v>
      </c>
      <c r="AO46" s="49">
        <f>IFERROR(SUMIFS(T_MLD[Fund Lat m2],T_MLD[Codigo],T_Info[[#This Row],[Codigo]])/T_Info[[#This Row],[Superficie m2]],)</f>
        <v>0</v>
      </c>
      <c r="AP46" s="22">
        <f>IFERROR(SUMIFS(T_MLD[Muro m2],T_MLD[Codigo],T_Info[[#This Row],[Codigo]])/T_Info[[#This Row],[Superficie m2]],)</f>
        <v>0</v>
      </c>
      <c r="AQ46" s="22">
        <f>IFERROR((SUMIFS(T_MLD[Viga Lat m2],T_MLD[Codigo],T_Info[[#This Row],[Codigo]])+SUMIFS(T_MLD[Viga Fondo m2],T_MLD[Codigo],T_Info[[#This Row],[Codigo]]))/T_Info[[#This Row],[Superficie m2]],)</f>
        <v>0</v>
      </c>
      <c r="AR46" s="50">
        <f>IFERROR((SUMIFS(T_MLD[Losa Fondo m2],T_MLD[Codigo],T_Info[[#This Row],[Codigo]])+SUMIFS(T_MLD[Rebalse m2],T_MLD[Codigo],T_Info[[#This Row],[Codigo]]))/T_Info[[#This Row],[Superficie m2]],)</f>
        <v>0</v>
      </c>
    </row>
    <row r="47" spans="1:44" x14ac:dyDescent="0.25">
      <c r="A47" s="52">
        <v>46</v>
      </c>
      <c r="B47" s="34">
        <v>18063</v>
      </c>
      <c r="C47" s="46" t="s">
        <v>31</v>
      </c>
      <c r="D47" s="6" t="s">
        <v>261</v>
      </c>
      <c r="E47" s="45" t="s">
        <v>80</v>
      </c>
      <c r="F47" s="34">
        <v>2</v>
      </c>
      <c r="G47" s="34">
        <v>8</v>
      </c>
      <c r="H47" s="34">
        <v>2</v>
      </c>
      <c r="I47" s="33">
        <v>6906.02</v>
      </c>
      <c r="J47" s="30"/>
      <c r="K47" s="53"/>
      <c r="L47" s="46"/>
      <c r="M47" s="47">
        <f>SUMIFS(T_Fe[Total kg],T_Fe[Codigo],T_Info[[#This Row],[Codigo]])</f>
        <v>230866.46828973334</v>
      </c>
      <c r="N47" s="33">
        <f>SUMIFS(T_HA[Total m3],T_HA[Codigo],T_Info[[#This Row],[Codigo]])</f>
        <v>2444.6000000000004</v>
      </c>
      <c r="O47" s="48">
        <f>SUMIFS(T_MLD[Total m2],T_MLD[Codigo],T_Info[[#This Row],[Codigo]])</f>
        <v>16899.400000000001</v>
      </c>
      <c r="P47" s="49">
        <f>IFERROR(T_Info[[#This Row],[Fe (kg)]]/T_Info[[#This Row],[HA (m3)]],)</f>
        <v>94.439363613570038</v>
      </c>
      <c r="Q47" s="22">
        <f>IFERROR(T_Info[[#This Row],[Fe (kg)]]/T_Info[[#This Row],[Superficie m2]],)</f>
        <v>33.429742208932687</v>
      </c>
      <c r="R47" s="22">
        <f>IFERROR(T_Info[[#This Row],[HA (m3)]]/T_Info[[#This Row],[Superficie m2]],)</f>
        <v>0.35398101945838562</v>
      </c>
      <c r="S47" s="22">
        <f>IFERROR(T_Info[[#This Row],[HA (m3)]]/T_Info[[#This Row],[MLD (m2)]],)</f>
        <v>0.14465602329076774</v>
      </c>
      <c r="T47" s="50">
        <f>IFERROR(T_Info[[#This Row],[MLD (m2)]]/T_Info[[#This Row],[Superficie m2]],)</f>
        <v>2.4470534403317687</v>
      </c>
      <c r="U47" s="49">
        <f>IFERROR(SUMIFS(T_Fe[Fund kg],T_Fe[Codigo],T_Info[[#This Row],[Codigo]])/SUMIFS(T_HA[Fund m3],T_HA[Codigo],T_Info[[#This Row],[Codigo]]),)</f>
        <v>33.940764900366354</v>
      </c>
      <c r="V47" s="22">
        <f>IFERROR(SUMIFS(T_Fe[Grua kg],T_Fe[Codigo],T_Info[[#This Row],[Codigo]])/SUMIFS(T_HA[Grua m3],T_HA[Codigo],T_Info[[#This Row],[Codigo]]),)</f>
        <v>0</v>
      </c>
      <c r="W47" s="22">
        <f>IFERROR(SUMIFS(T_Fe[Muros kg],T_Fe[Codigo],T_Info[[#This Row],[Codigo]])/SUMIFS(T_HA[Muros Int m3],T_HA[Codigo],T_Info[[#This Row],[Codigo]]),)</f>
        <v>90.318460776589745</v>
      </c>
      <c r="X47" s="22">
        <f>IFERROR(SUMIFS(T_Fe[Perimetrales kg],T_Fe[Codigo],T_Info[[#This Row],[Codigo]])/SUMIFS(T_HA[Perimetrales m3],T_HA[Codigo],T_Info[[#This Row],[Codigo]]),)</f>
        <v>140.45351486486487</v>
      </c>
      <c r="Y47" s="22">
        <f>IFERROR(SUMIFS(T_Fe[Vigas kg],T_Fe[Codigo],T_Info[[#This Row],[Codigo]])/SUMIFS(T_HA[Vigas m3],T_HA[Codigo],T_Info[[#This Row],[Codigo]]),)</f>
        <v>194.81470223407806</v>
      </c>
      <c r="Z47" s="50">
        <f>IFERROR(SUMIFS(T_Fe[Losas kg],T_Fe[Codigo],T_Info[[#This Row],[Codigo]])/SUMIFS(T_HA[Losas m3],T_HA[Codigo],T_Info[[#This Row],[Codigo]]),)</f>
        <v>85.245927987579748</v>
      </c>
      <c r="AA47" s="49">
        <f>SUMIFS(T_Fe[Fund kg/m2],T_Fe[Codigo],T_Info[[#This Row],[Codigo]])</f>
        <v>0.55000000000000004</v>
      </c>
      <c r="AB47" s="22">
        <f>SUMIFS(T_Fe[Muros kg/m2],T_Fe[Codigo],T_Info[[#This Row],[Codigo]])</f>
        <v>11.62</v>
      </c>
      <c r="AC47" s="22">
        <f>SUMIFS(T_Fe[Perimetrales kg/m2],T_Fe[Codigo],T_Info[[#This Row],[Codigo]])</f>
        <v>3.01</v>
      </c>
      <c r="AD47" s="22">
        <f>SUMIFS(T_Fe[Vigas kg/m2],T_Fe[Codigo],T_Info[[#This Row],[Codigo]])</f>
        <v>4.2300000000000004</v>
      </c>
      <c r="AE47" s="50">
        <f>SUMIFS(T_Fe[Losas kg/m2],T_Fe[Codigo],T_Info[[#This Row],[Codigo]])</f>
        <v>14.019742208932691</v>
      </c>
      <c r="AF47" s="49">
        <f>IFERROR(SUMIFS(T_HA[Fund m3/m2],T_HA[Codigo],T_Info[[#This Row],[Codigo]]),)</f>
        <v>1.6204702563850096E-2</v>
      </c>
      <c r="AG47" s="22">
        <f>IFERROR(SUMIFS(T_HA[Muros Int m3/m2],T_HA[Codigo],T_Info[[#This Row],[Codigo]]),)</f>
        <v>0.12865586835833084</v>
      </c>
      <c r="AH47" s="22">
        <f>IFERROR(SUMIFS(T_HA[Perimetrales m3/m2],T_HA[Codigo],T_Info[[#This Row],[Codigo]]),)</f>
        <v>2.1430577959519373E-2</v>
      </c>
      <c r="AI47" s="22">
        <f>IFERROR(SUMIFS(T_HA[Vigas m3/m2],T_HA[Codigo],T_Info[[#This Row],[Codigo]]),)</f>
        <v>2.1712940304256283E-2</v>
      </c>
      <c r="AJ47" s="50">
        <f>IFERROR(SUMIFS(T_HA[Losas m3/m2],T_HA[Codigo],T_Info[[#This Row],[Codigo]]),)</f>
        <v>0.16446230969501974</v>
      </c>
      <c r="AK47" s="22">
        <f>IFERROR(SUMIFS(T_HA[Fund m3],T_HA[Codigo],T_Info[[#This Row],[Codigo]])/SUMIFS(T_MLD[Fund Lat m2],T_MLD[Codigo],T_Info[[#This Row],[Codigo]]),)</f>
        <v>0</v>
      </c>
      <c r="AL47" s="22">
        <f>IFERROR(SUMIFS(T_HA[Muros m3],T_HA[Codigo],T_Info[[#This Row],[Codigo]])/SUMIFS(T_MLD[Muro m2],T_MLD[Codigo],T_Info[[#This Row],[Codigo]]),)</f>
        <v>0</v>
      </c>
      <c r="AM47" s="22">
        <f>IFERROR(SUMIFS(T_HA[Vigas m3],T_HA[Codigo],T_Info[[#This Row],[Codigo]])/(SUMIFS(T_MLD[Viga Lat m2],T_MLD[Codigo],T_Info[[#This Row],[Codigo]])+SUMIFS(T_MLD[Viga Fondo m2],T_MLD[Codigo],T_Info[[#This Row],[Codigo]])),)</f>
        <v>0</v>
      </c>
      <c r="AN47" s="22">
        <f>IFERROR(SUMIFS(T_HA[Losas m3],T_HA[Codigo],T_Info[[#This Row],[Codigo]])/(SUMIFS(T_MLD[Losa Fondo m2],T_MLD[Codigo],T_Info[[#This Row],[Codigo]])+SUMIFS(T_MLD[Rebalse m2],T_MLD[Codigo],T_Info[[#This Row],[Codigo]])),)</f>
        <v>0</v>
      </c>
      <c r="AO47" s="49">
        <f>IFERROR(SUMIFS(T_MLD[Fund Lat m2],T_MLD[Codigo],T_Info[[#This Row],[Codigo]])/T_Info[[#This Row],[Superficie m2]],)</f>
        <v>0</v>
      </c>
      <c r="AP47" s="22">
        <f>IFERROR(SUMIFS(T_MLD[Muro m2],T_MLD[Codigo],T_Info[[#This Row],[Codigo]])/T_Info[[#This Row],[Superficie m2]],)</f>
        <v>0</v>
      </c>
      <c r="AQ47" s="22">
        <f>IFERROR((SUMIFS(T_MLD[Viga Lat m2],T_MLD[Codigo],T_Info[[#This Row],[Codigo]])+SUMIFS(T_MLD[Viga Fondo m2],T_MLD[Codigo],T_Info[[#This Row],[Codigo]]))/T_Info[[#This Row],[Superficie m2]],)</f>
        <v>0</v>
      </c>
      <c r="AR47" s="50">
        <f>IFERROR((SUMIFS(T_MLD[Losa Fondo m2],T_MLD[Codigo],T_Info[[#This Row],[Codigo]])+SUMIFS(T_MLD[Rebalse m2],T_MLD[Codigo],T_Info[[#This Row],[Codigo]]))/T_Info[[#This Row],[Superficie m2]],)</f>
        <v>0</v>
      </c>
    </row>
    <row r="48" spans="1:44" x14ac:dyDescent="0.25">
      <c r="A48" s="52">
        <v>47</v>
      </c>
      <c r="B48" s="34">
        <v>18072</v>
      </c>
      <c r="C48" s="46" t="s">
        <v>32</v>
      </c>
      <c r="D48" s="6" t="s">
        <v>255</v>
      </c>
      <c r="E48" s="45" t="s">
        <v>80</v>
      </c>
      <c r="F48" s="34">
        <v>2</v>
      </c>
      <c r="G48" s="34">
        <v>12</v>
      </c>
      <c r="H48" s="34">
        <v>3</v>
      </c>
      <c r="I48" s="33">
        <v>17234.18</v>
      </c>
      <c r="J48" s="30"/>
      <c r="K48" s="53"/>
      <c r="L48" s="46"/>
      <c r="M48" s="47">
        <f>SUMIFS(T_Fe[Total kg],T_Fe[Codigo],T_Info[[#This Row],[Codigo]])</f>
        <v>559126.35076566623</v>
      </c>
      <c r="N48" s="33">
        <f>SUMIFS(T_HA[Total m3],T_HA[Codigo],T_Info[[#This Row],[Codigo]])</f>
        <v>5639.2299999999987</v>
      </c>
      <c r="O48" s="48">
        <f>SUMIFS(T_MLD[Total m2],T_MLD[Codigo],T_Info[[#This Row],[Codigo]])</f>
        <v>40759</v>
      </c>
      <c r="P48" s="49">
        <f>IFERROR(T_Info[[#This Row],[Fe (kg)]]/T_Info[[#This Row],[HA (m3)]],)</f>
        <v>99.149414151518272</v>
      </c>
      <c r="Q48" s="22">
        <f>IFERROR(T_Info[[#This Row],[Fe (kg)]]/T_Info[[#This Row],[Superficie m2]],)</f>
        <v>32.442875191373552</v>
      </c>
      <c r="R48" s="22">
        <f>IFERROR(T_Info[[#This Row],[HA (m3)]]/T_Info[[#This Row],[Superficie m2]],)</f>
        <v>0.32721197063045637</v>
      </c>
      <c r="S48" s="22">
        <f>IFERROR(T_Info[[#This Row],[HA (m3)]]/T_Info[[#This Row],[MLD (m2)]],)</f>
        <v>0.13835545523688017</v>
      </c>
      <c r="T48" s="50">
        <f>IFERROR(T_Info[[#This Row],[MLD (m2)]]/T_Info[[#This Row],[Superficie m2]],)</f>
        <v>2.3650095333807584</v>
      </c>
      <c r="U48" s="49">
        <f>IFERROR(SUMIFS(T_Fe[Fund kg],T_Fe[Codigo],T_Info[[#This Row],[Codigo]])/SUMIFS(T_HA[Fund m3],T_HA[Codigo],T_Info[[#This Row],[Codigo]]),)</f>
        <v>21.886410032542283</v>
      </c>
      <c r="V48" s="22">
        <f>IFERROR(SUMIFS(T_Fe[Grua kg],T_Fe[Codigo],T_Info[[#This Row],[Codigo]])/SUMIFS(T_HA[Grua m3],T_HA[Codigo],T_Info[[#This Row],[Codigo]]),)</f>
        <v>0</v>
      </c>
      <c r="W48" s="22">
        <f>IFERROR(SUMIFS(T_Fe[Muros kg],T_Fe[Codigo],T_Info[[#This Row],[Codigo]])/SUMIFS(T_HA[Muros Int m3],T_HA[Codigo],T_Info[[#This Row],[Codigo]]),)</f>
        <v>111.89402321363799</v>
      </c>
      <c r="X48" s="22">
        <f>IFERROR(SUMIFS(T_Fe[Perimetrales kg],T_Fe[Codigo],T_Info[[#This Row],[Codigo]])/SUMIFS(T_HA[Perimetrales m3],T_HA[Codigo],T_Info[[#This Row],[Codigo]]),)</f>
        <v>88.901999562841524</v>
      </c>
      <c r="Y48" s="22">
        <f>IFERROR(SUMIFS(T_Fe[Vigas kg],T_Fe[Codigo],T_Info[[#This Row],[Codigo]])/SUMIFS(T_HA[Vigas m3],T_HA[Codigo],T_Info[[#This Row],[Codigo]]),)</f>
        <v>188.95576804027581</v>
      </c>
      <c r="Z48" s="50">
        <f>IFERROR(SUMIFS(T_Fe[Losas kg],T_Fe[Codigo],T_Info[[#This Row],[Codigo]])/SUMIFS(T_HA[Losas m3],T_HA[Codigo],T_Info[[#This Row],[Codigo]]),)</f>
        <v>90.173146306573315</v>
      </c>
      <c r="AA48" s="49">
        <f>SUMIFS(T_Fe[Fund kg/m2],T_Fe[Codigo],T_Info[[#This Row],[Codigo]])</f>
        <v>0.32</v>
      </c>
      <c r="AB48" s="22">
        <f>SUMIFS(T_Fe[Muros kg/m2],T_Fe[Codigo],T_Info[[#This Row],[Codigo]])</f>
        <v>12.53</v>
      </c>
      <c r="AC48" s="22">
        <f>SUMIFS(T_Fe[Perimetrales kg/m2],T_Fe[Codigo],T_Info[[#This Row],[Codigo]])</f>
        <v>2.36</v>
      </c>
      <c r="AD48" s="22">
        <f>SUMIFS(T_Fe[Vigas kg/m2],T_Fe[Codigo],T_Info[[#This Row],[Codigo]])</f>
        <v>2.94</v>
      </c>
      <c r="AE48" s="50">
        <f>SUMIFS(T_Fe[Losas kg/m2],T_Fe[Codigo],T_Info[[#This Row],[Codigo]])</f>
        <v>14.292875191373549</v>
      </c>
      <c r="AF48" s="49">
        <f>IFERROR(SUMIFS(T_HA[Fund m3/m2],T_HA[Codigo],T_Info[[#This Row],[Codigo]]),)</f>
        <v>1.4620945121845067E-2</v>
      </c>
      <c r="AG48" s="22">
        <f>IFERROR(SUMIFS(T_HA[Muros Int m3/m2],T_HA[Codigo],T_Info[[#This Row],[Codigo]]),)</f>
        <v>0.11198095876914364</v>
      </c>
      <c r="AH48" s="22">
        <f>IFERROR(SUMIFS(T_HA[Perimetrales m3/m2],T_HA[Codigo],T_Info[[#This Row],[Codigo]]),)</f>
        <v>2.654608458307851E-2</v>
      </c>
      <c r="AI48" s="22">
        <f>IFERROR(SUMIFS(T_HA[Vigas m3/m2],T_HA[Codigo],T_Info[[#This Row],[Codigo]]),)</f>
        <v>1.5559196898256848E-2</v>
      </c>
      <c r="AJ48" s="50">
        <f>IFERROR(SUMIFS(T_HA[Losas m3/m2],T_HA[Codigo],T_Info[[#This Row],[Codigo]]),)</f>
        <v>0.1585047852581323</v>
      </c>
      <c r="AK48" s="22">
        <f>IFERROR(SUMIFS(T_HA[Fund m3],T_HA[Codigo],T_Info[[#This Row],[Codigo]])/SUMIFS(T_MLD[Fund Lat m2],T_MLD[Codigo],T_Info[[#This Row],[Codigo]]),)</f>
        <v>0</v>
      </c>
      <c r="AL48" s="22">
        <f>IFERROR(SUMIFS(T_HA[Muros m3],T_HA[Codigo],T_Info[[#This Row],[Codigo]])/SUMIFS(T_MLD[Muro m2],T_MLD[Codigo],T_Info[[#This Row],[Codigo]]),)</f>
        <v>0</v>
      </c>
      <c r="AM48" s="22">
        <f>IFERROR(SUMIFS(T_HA[Vigas m3],T_HA[Codigo],T_Info[[#This Row],[Codigo]])/(SUMIFS(T_MLD[Viga Lat m2],T_MLD[Codigo],T_Info[[#This Row],[Codigo]])+SUMIFS(T_MLD[Viga Fondo m2],T_MLD[Codigo],T_Info[[#This Row],[Codigo]])),)</f>
        <v>0</v>
      </c>
      <c r="AN48" s="22">
        <f>IFERROR(SUMIFS(T_HA[Losas m3],T_HA[Codigo],T_Info[[#This Row],[Codigo]])/(SUMIFS(T_MLD[Losa Fondo m2],T_MLD[Codigo],T_Info[[#This Row],[Codigo]])+SUMIFS(T_MLD[Rebalse m2],T_MLD[Codigo],T_Info[[#This Row],[Codigo]])),)</f>
        <v>0</v>
      </c>
      <c r="AO48" s="49">
        <f>IFERROR(SUMIFS(T_MLD[Fund Lat m2],T_MLD[Codigo],T_Info[[#This Row],[Codigo]])/T_Info[[#This Row],[Superficie m2]],)</f>
        <v>0</v>
      </c>
      <c r="AP48" s="22">
        <f>IFERROR(SUMIFS(T_MLD[Muro m2],T_MLD[Codigo],T_Info[[#This Row],[Codigo]])/T_Info[[#This Row],[Superficie m2]],)</f>
        <v>0</v>
      </c>
      <c r="AQ48" s="22">
        <f>IFERROR((SUMIFS(T_MLD[Viga Lat m2],T_MLD[Codigo],T_Info[[#This Row],[Codigo]])+SUMIFS(T_MLD[Viga Fondo m2],T_MLD[Codigo],T_Info[[#This Row],[Codigo]]))/T_Info[[#This Row],[Superficie m2]],)</f>
        <v>0</v>
      </c>
      <c r="AR48" s="50">
        <f>IFERROR((SUMIFS(T_MLD[Losa Fondo m2],T_MLD[Codigo],T_Info[[#This Row],[Codigo]])+SUMIFS(T_MLD[Rebalse m2],T_MLD[Codigo],T_Info[[#This Row],[Codigo]]))/T_Info[[#This Row],[Superficie m2]],)</f>
        <v>0</v>
      </c>
    </row>
    <row r="49" spans="1:44" x14ac:dyDescent="0.25">
      <c r="A49" s="52">
        <v>48</v>
      </c>
      <c r="B49" s="34">
        <v>18081</v>
      </c>
      <c r="C49" s="46" t="s">
        <v>46</v>
      </c>
      <c r="D49" s="6" t="s">
        <v>254</v>
      </c>
      <c r="E49" s="45" t="s">
        <v>80</v>
      </c>
      <c r="F49" s="34">
        <v>2</v>
      </c>
      <c r="G49" s="34">
        <v>7</v>
      </c>
      <c r="H49" s="34">
        <v>2</v>
      </c>
      <c r="I49" s="33">
        <v>12550.05</v>
      </c>
      <c r="J49" s="30"/>
      <c r="K49" s="53"/>
      <c r="L49" s="46"/>
      <c r="M49" s="47">
        <f>SUMIFS(T_Fe[Total kg],T_Fe[Codigo],T_Info[[#This Row],[Codigo]])</f>
        <v>366502.81494709244</v>
      </c>
      <c r="N49" s="33">
        <f>SUMIFS(T_HA[Total m3],T_HA[Codigo],T_Info[[#This Row],[Codigo]])</f>
        <v>3971.7199999999989</v>
      </c>
      <c r="O49" s="48">
        <f>SUMIFS(T_MLD[Total m2],T_MLD[Codigo],T_Info[[#This Row],[Codigo]])</f>
        <v>28377.200000000001</v>
      </c>
      <c r="P49" s="49">
        <f>IFERROR(T_Info[[#This Row],[Fe (kg)]]/T_Info[[#This Row],[HA (m3)]],)</f>
        <v>92.278109974291382</v>
      </c>
      <c r="Q49" s="22">
        <f>IFERROR(T_Info[[#This Row],[Fe (kg)]]/T_Info[[#This Row],[Superficie m2]],)</f>
        <v>29.203295201779472</v>
      </c>
      <c r="R49" s="22">
        <f>IFERROR(T_Info[[#This Row],[HA (m3)]]/T_Info[[#This Row],[Superficie m2]],)</f>
        <v>0.31647045230895487</v>
      </c>
      <c r="S49" s="22">
        <f>IFERROR(T_Info[[#This Row],[HA (m3)]]/T_Info[[#This Row],[MLD (m2)]],)</f>
        <v>0.1399616593603315</v>
      </c>
      <c r="T49" s="50">
        <f>IFERROR(T_Info[[#This Row],[MLD (m2)]]/T_Info[[#This Row],[Superficie m2]],)</f>
        <v>2.2611224656475475</v>
      </c>
      <c r="U49" s="49">
        <f>IFERROR(SUMIFS(T_Fe[Fund kg],T_Fe[Codigo],T_Info[[#This Row],[Codigo]])/SUMIFS(T_HA[Fund m3],T_HA[Codigo],T_Info[[#This Row],[Codigo]]),)</f>
        <v>23.46012551183906</v>
      </c>
      <c r="V49" s="22">
        <f>IFERROR(SUMIFS(T_Fe[Grua kg],T_Fe[Codigo],T_Info[[#This Row],[Codigo]])/SUMIFS(T_HA[Grua m3],T_HA[Codigo],T_Info[[#This Row],[Codigo]]),)</f>
        <v>0</v>
      </c>
      <c r="W49" s="22">
        <f>IFERROR(SUMIFS(T_Fe[Muros kg],T_Fe[Codigo],T_Info[[#This Row],[Codigo]])/SUMIFS(T_HA[Muros Int m3],T_HA[Codigo],T_Info[[#This Row],[Codigo]]),)</f>
        <v>94.378547541801836</v>
      </c>
      <c r="X49" s="22">
        <f>IFERROR(SUMIFS(T_Fe[Perimetrales kg],T_Fe[Codigo],T_Info[[#This Row],[Codigo]])/SUMIFS(T_HA[Perimetrales m3],T_HA[Codigo],T_Info[[#This Row],[Codigo]]),)</f>
        <v>123.89537769784174</v>
      </c>
      <c r="Y49" s="22">
        <f>IFERROR(SUMIFS(T_Fe[Vigas kg],T_Fe[Codigo],T_Info[[#This Row],[Codigo]])/SUMIFS(T_HA[Vigas m3],T_HA[Codigo],T_Info[[#This Row],[Codigo]]),)</f>
        <v>169.30334454185186</v>
      </c>
      <c r="Z49" s="50">
        <f>IFERROR(SUMIFS(T_Fe[Losas kg],T_Fe[Codigo],T_Info[[#This Row],[Codigo]])/SUMIFS(T_HA[Losas m3],T_HA[Codigo],T_Info[[#This Row],[Codigo]]),)</f>
        <v>86.046192208958601</v>
      </c>
      <c r="AA49" s="49">
        <f>SUMIFS(T_Fe[Fund kg/m2],T_Fe[Codigo],T_Info[[#This Row],[Codigo]])</f>
        <v>0.42</v>
      </c>
      <c r="AB49" s="22">
        <f>SUMIFS(T_Fe[Muros kg/m2],T_Fe[Codigo],T_Info[[#This Row],[Codigo]])</f>
        <v>9.0399999999999991</v>
      </c>
      <c r="AC49" s="22">
        <f>SUMIFS(T_Fe[Perimetrales kg/m2],T_Fe[Codigo],T_Info[[#This Row],[Codigo]])</f>
        <v>2.4700000000000002</v>
      </c>
      <c r="AD49" s="22">
        <f>SUMIFS(T_Fe[Vigas kg/m2],T_Fe[Codigo],T_Info[[#This Row],[Codigo]])</f>
        <v>3.37</v>
      </c>
      <c r="AE49" s="50">
        <f>SUMIFS(T_Fe[Losas kg/m2],T_Fe[Codigo],T_Info[[#This Row],[Codigo]])</f>
        <v>13.903295201779473</v>
      </c>
      <c r="AF49" s="49">
        <f>IFERROR(SUMIFS(T_HA[Fund m3/m2],T_HA[Codigo],T_Info[[#This Row],[Codigo]]),)</f>
        <v>1.7902717519053712E-2</v>
      </c>
      <c r="AG49" s="22">
        <f>IFERROR(SUMIFS(T_HA[Muros Int m3/m2],T_HA[Codigo],T_Info[[#This Row],[Codigo]]),)</f>
        <v>9.5784478946299018E-2</v>
      </c>
      <c r="AH49" s="22">
        <f>IFERROR(SUMIFS(T_HA[Perimetrales m3/m2],T_HA[Codigo],T_Info[[#This Row],[Codigo]]),)</f>
        <v>1.9936175553085446E-2</v>
      </c>
      <c r="AI49" s="22">
        <f>IFERROR(SUMIFS(T_HA[Vigas m3/m2],T_HA[Codigo],T_Info[[#This Row],[Codigo]]),)</f>
        <v>1.9905099979681352E-2</v>
      </c>
      <c r="AJ49" s="50">
        <f>IFERROR(SUMIFS(T_HA[Losas m3/m2],T_HA[Codigo],T_Info[[#This Row],[Codigo]]),)</f>
        <v>0.16157943593850219</v>
      </c>
      <c r="AK49" s="22">
        <f>IFERROR(SUMIFS(T_HA[Fund m3],T_HA[Codigo],T_Info[[#This Row],[Codigo]])/SUMIFS(T_MLD[Fund Lat m2],T_MLD[Codigo],T_Info[[#This Row],[Codigo]]),)</f>
        <v>0</v>
      </c>
      <c r="AL49" s="22">
        <f>IFERROR(SUMIFS(T_HA[Muros m3],T_HA[Codigo],T_Info[[#This Row],[Codigo]])/SUMIFS(T_MLD[Muro m2],T_MLD[Codigo],T_Info[[#This Row],[Codigo]]),)</f>
        <v>0</v>
      </c>
      <c r="AM49" s="22">
        <f>IFERROR(SUMIFS(T_HA[Vigas m3],T_HA[Codigo],T_Info[[#This Row],[Codigo]])/(SUMIFS(T_MLD[Viga Lat m2],T_MLD[Codigo],T_Info[[#This Row],[Codigo]])+SUMIFS(T_MLD[Viga Fondo m2],T_MLD[Codigo],T_Info[[#This Row],[Codigo]])),)</f>
        <v>0</v>
      </c>
      <c r="AN49" s="22">
        <f>IFERROR(SUMIFS(T_HA[Losas m3],T_HA[Codigo],T_Info[[#This Row],[Codigo]])/(SUMIFS(T_MLD[Losa Fondo m2],T_MLD[Codigo],T_Info[[#This Row],[Codigo]])+SUMIFS(T_MLD[Rebalse m2],T_MLD[Codigo],T_Info[[#This Row],[Codigo]])),)</f>
        <v>0</v>
      </c>
      <c r="AO49" s="49">
        <f>IFERROR(SUMIFS(T_MLD[Fund Lat m2],T_MLD[Codigo],T_Info[[#This Row],[Codigo]])/T_Info[[#This Row],[Superficie m2]],)</f>
        <v>0</v>
      </c>
      <c r="AP49" s="22">
        <f>IFERROR(SUMIFS(T_MLD[Muro m2],T_MLD[Codigo],T_Info[[#This Row],[Codigo]])/T_Info[[#This Row],[Superficie m2]],)</f>
        <v>0</v>
      </c>
      <c r="AQ49" s="22">
        <f>IFERROR((SUMIFS(T_MLD[Viga Lat m2],T_MLD[Codigo],T_Info[[#This Row],[Codigo]])+SUMIFS(T_MLD[Viga Fondo m2],T_MLD[Codigo],T_Info[[#This Row],[Codigo]]))/T_Info[[#This Row],[Superficie m2]],)</f>
        <v>0</v>
      </c>
      <c r="AR49" s="50">
        <f>IFERROR((SUMIFS(T_MLD[Losa Fondo m2],T_MLD[Codigo],T_Info[[#This Row],[Codigo]])+SUMIFS(T_MLD[Rebalse m2],T_MLD[Codigo],T_Info[[#This Row],[Codigo]]))/T_Info[[#This Row],[Superficie m2]],)</f>
        <v>0</v>
      </c>
    </row>
    <row r="50" spans="1:44" x14ac:dyDescent="0.25">
      <c r="A50" s="52">
        <v>49</v>
      </c>
      <c r="B50" s="34">
        <v>19006</v>
      </c>
      <c r="C50" s="46" t="s">
        <v>34</v>
      </c>
      <c r="D50" s="6" t="s">
        <v>262</v>
      </c>
      <c r="E50" s="45" t="s">
        <v>80</v>
      </c>
      <c r="F50" s="34">
        <v>2</v>
      </c>
      <c r="G50" s="34">
        <v>7</v>
      </c>
      <c r="H50" s="34">
        <v>2</v>
      </c>
      <c r="I50" s="33">
        <v>10043.77</v>
      </c>
      <c r="J50" s="30"/>
      <c r="K50" s="53"/>
      <c r="L50" s="46"/>
      <c r="M50" s="47">
        <f>SUMIFS(T_Fe[Total kg],T_Fe[Codigo],T_Info[[#This Row],[Codigo]])</f>
        <v>276002.79959999997</v>
      </c>
      <c r="N50" s="33">
        <f>SUMIFS(T_HA[Total m3],T_HA[Codigo],T_Info[[#This Row],[Codigo]])</f>
        <v>3123.7499999999995</v>
      </c>
      <c r="O50" s="48">
        <f>SUMIFS(T_MLD[Total m2],T_MLD[Codigo],T_Info[[#This Row],[Codigo]])</f>
        <v>22603.8</v>
      </c>
      <c r="P50" s="49">
        <f>IFERROR(T_Info[[#This Row],[Fe (kg)]]/T_Info[[#This Row],[HA (m3)]],)</f>
        <v>88.356238367346947</v>
      </c>
      <c r="Q50" s="22">
        <f>IFERROR(T_Info[[#This Row],[Fe (kg)]]/T_Info[[#This Row],[Superficie m2]],)</f>
        <v>27.479999999999997</v>
      </c>
      <c r="R50" s="22">
        <f>IFERROR(T_Info[[#This Row],[HA (m3)]]/T_Info[[#This Row],[Superficie m2]],)</f>
        <v>0.31101369306545246</v>
      </c>
      <c r="S50" s="22">
        <f>IFERROR(T_Info[[#This Row],[HA (m3)]]/T_Info[[#This Row],[MLD (m2)]],)</f>
        <v>0.1381957900883922</v>
      </c>
      <c r="T50" s="50">
        <f>IFERROR(T_Info[[#This Row],[MLD (m2)]]/T_Info[[#This Row],[Superficie m2]],)</f>
        <v>2.2505294326731895</v>
      </c>
      <c r="U50" s="49">
        <f>IFERROR(SUMIFS(T_Fe[Fund kg],T_Fe[Codigo],T_Info[[#This Row],[Codigo]])/SUMIFS(T_HA[Fund m3],T_HA[Codigo],T_Info[[#This Row],[Codigo]]),)</f>
        <v>22.228926595352256</v>
      </c>
      <c r="V50" s="22">
        <f>IFERROR(SUMIFS(T_Fe[Grua kg],T_Fe[Codigo],T_Info[[#This Row],[Codigo]])/SUMIFS(T_HA[Grua m3],T_HA[Codigo],T_Info[[#This Row],[Codigo]]),)</f>
        <v>0</v>
      </c>
      <c r="W50" s="22">
        <f>IFERROR(SUMIFS(T_Fe[Muros kg],T_Fe[Codigo],T_Info[[#This Row],[Codigo]])/SUMIFS(T_HA[Muros Int m3],T_HA[Codigo],T_Info[[#This Row],[Codigo]]),)</f>
        <v>89.592864388992538</v>
      </c>
      <c r="X50" s="22">
        <f>IFERROR(SUMIFS(T_Fe[Perimetrales kg],T_Fe[Codigo],T_Info[[#This Row],[Codigo]])/SUMIFS(T_HA[Perimetrales m3],T_HA[Codigo],T_Info[[#This Row],[Codigo]]),)</f>
        <v>110.96246609767663</v>
      </c>
      <c r="Y50" s="22">
        <f>IFERROR(SUMIFS(T_Fe[Vigas kg],T_Fe[Codigo],T_Info[[#This Row],[Codigo]])/SUMIFS(T_HA[Vigas m3],T_HA[Codigo],T_Info[[#This Row],[Codigo]]),)</f>
        <v>220.45857379945357</v>
      </c>
      <c r="Z50" s="50">
        <f>IFERROR(SUMIFS(T_Fe[Losas kg],T_Fe[Codigo],T_Info[[#This Row],[Codigo]])/SUMIFS(T_HA[Losas m3],T_HA[Codigo],T_Info[[#This Row],[Codigo]]),)</f>
        <v>76.793506834603789</v>
      </c>
      <c r="AA50" s="49">
        <f>SUMIFS(T_Fe[Fund kg/m2],T_Fe[Codigo],T_Info[[#This Row],[Codigo]])</f>
        <v>0.3</v>
      </c>
      <c r="AB50" s="22">
        <f>SUMIFS(T_Fe[Muros kg/m2],T_Fe[Codigo],T_Info[[#This Row],[Codigo]])</f>
        <v>7.65</v>
      </c>
      <c r="AC50" s="22">
        <f>SUMIFS(T_Fe[Perimetrales kg/m2],T_Fe[Codigo],T_Info[[#This Row],[Codigo]])</f>
        <v>2.33</v>
      </c>
      <c r="AD50" s="22">
        <f>SUMIFS(T_Fe[Vigas kg/m2],T_Fe[Codigo],T_Info[[#This Row],[Codigo]])</f>
        <v>4.0999999999999996</v>
      </c>
      <c r="AE50" s="50">
        <f>SUMIFS(T_Fe[Losas kg/m2],T_Fe[Codigo],T_Info[[#This Row],[Codigo]])</f>
        <v>13.099999999999998</v>
      </c>
      <c r="AF50" s="49">
        <f>IFERROR(SUMIFS(T_HA[Fund m3/m2],T_HA[Codigo],T_Info[[#This Row],[Codigo]]),)</f>
        <v>1.3495928321735769E-2</v>
      </c>
      <c r="AG50" s="22">
        <f>IFERROR(SUMIFS(T_HA[Muros Int m3/m2],T_HA[Codigo],T_Info[[#This Row],[Codigo]]),)</f>
        <v>8.5386264321066691E-2</v>
      </c>
      <c r="AH50" s="22">
        <f>IFERROR(SUMIFS(T_HA[Perimetrales m3/m2],T_HA[Codigo],T_Info[[#This Row],[Codigo]]),)</f>
        <v>2.0998091354142916E-2</v>
      </c>
      <c r="AI50" s="22">
        <f>IFERROR(SUMIFS(T_HA[Vigas m3/m2],T_HA[Codigo],T_Info[[#This Row],[Codigo]]),)</f>
        <v>1.8597598312187581E-2</v>
      </c>
      <c r="AJ50" s="50">
        <f>IFERROR(SUMIFS(T_HA[Losas m3/m2],T_HA[Codigo],T_Info[[#This Row],[Codigo]]),)</f>
        <v>0.17058733921625038</v>
      </c>
      <c r="AK50" s="22">
        <f>IFERROR(SUMIFS(T_HA[Fund m3],T_HA[Codigo],T_Info[[#This Row],[Codigo]])/SUMIFS(T_MLD[Fund Lat m2],T_MLD[Codigo],T_Info[[#This Row],[Codigo]]),)</f>
        <v>0</v>
      </c>
      <c r="AL50" s="22">
        <f>IFERROR(SUMIFS(T_HA[Muros m3],T_HA[Codigo],T_Info[[#This Row],[Codigo]])/SUMIFS(T_MLD[Muro m2],T_MLD[Codigo],T_Info[[#This Row],[Codigo]]),)</f>
        <v>0</v>
      </c>
      <c r="AM50" s="22">
        <f>IFERROR(SUMIFS(T_HA[Vigas m3],T_HA[Codigo],T_Info[[#This Row],[Codigo]])/(SUMIFS(T_MLD[Viga Lat m2],T_MLD[Codigo],T_Info[[#This Row],[Codigo]])+SUMIFS(T_MLD[Viga Fondo m2],T_MLD[Codigo],T_Info[[#This Row],[Codigo]])),)</f>
        <v>0</v>
      </c>
      <c r="AN50" s="22">
        <f>IFERROR(SUMIFS(T_HA[Losas m3],T_HA[Codigo],T_Info[[#This Row],[Codigo]])/(SUMIFS(T_MLD[Losa Fondo m2],T_MLD[Codigo],T_Info[[#This Row],[Codigo]])+SUMIFS(T_MLD[Rebalse m2],T_MLD[Codigo],T_Info[[#This Row],[Codigo]])),)</f>
        <v>0</v>
      </c>
      <c r="AO50" s="49">
        <f>IFERROR(SUMIFS(T_MLD[Fund Lat m2],T_MLD[Codigo],T_Info[[#This Row],[Codigo]])/T_Info[[#This Row],[Superficie m2]],)</f>
        <v>0</v>
      </c>
      <c r="AP50" s="22">
        <f>IFERROR(SUMIFS(T_MLD[Muro m2],T_MLD[Codigo],T_Info[[#This Row],[Codigo]])/T_Info[[#This Row],[Superficie m2]],)</f>
        <v>0</v>
      </c>
      <c r="AQ50" s="22">
        <f>IFERROR((SUMIFS(T_MLD[Viga Lat m2],T_MLD[Codigo],T_Info[[#This Row],[Codigo]])+SUMIFS(T_MLD[Viga Fondo m2],T_MLD[Codigo],T_Info[[#This Row],[Codigo]]))/T_Info[[#This Row],[Superficie m2]],)</f>
        <v>0</v>
      </c>
      <c r="AR50" s="50">
        <f>IFERROR((SUMIFS(T_MLD[Losa Fondo m2],T_MLD[Codigo],T_Info[[#This Row],[Codigo]])+SUMIFS(T_MLD[Rebalse m2],T_MLD[Codigo],T_Info[[#This Row],[Codigo]]))/T_Info[[#This Row],[Superficie m2]],)</f>
        <v>0</v>
      </c>
    </row>
    <row r="51" spans="1:44" x14ac:dyDescent="0.25">
      <c r="A51" s="52">
        <v>50</v>
      </c>
      <c r="B51" s="34">
        <v>19009</v>
      </c>
      <c r="C51" s="46" t="s">
        <v>35</v>
      </c>
      <c r="D51" s="6" t="s">
        <v>255</v>
      </c>
      <c r="E51" s="45" t="s">
        <v>80</v>
      </c>
      <c r="F51" s="34">
        <v>2</v>
      </c>
      <c r="G51" s="34">
        <v>9</v>
      </c>
      <c r="H51" s="34">
        <v>3</v>
      </c>
      <c r="I51" s="33">
        <v>13376.77</v>
      </c>
      <c r="J51" s="30"/>
      <c r="K51" s="53"/>
      <c r="L51" s="46"/>
      <c r="M51" s="47">
        <f>SUMIFS(T_Fe[Total kg],T_Fe[Codigo],T_Info[[#This Row],[Codigo]])</f>
        <v>369048.82851866412</v>
      </c>
      <c r="N51" s="33">
        <f>SUMIFS(T_HA[Total m3],T_HA[Codigo],T_Info[[#This Row],[Codigo]])</f>
        <v>4461.09</v>
      </c>
      <c r="O51" s="48">
        <f>SUMIFS(T_MLD[Total m2],T_MLD[Codigo],T_Info[[#This Row],[Codigo]])</f>
        <v>33551</v>
      </c>
      <c r="P51" s="49">
        <f>IFERROR(T_Info[[#This Row],[Fe (kg)]]/T_Info[[#This Row],[HA (m3)]],)</f>
        <v>82.726156279892152</v>
      </c>
      <c r="Q51" s="22">
        <f>IFERROR(T_Info[[#This Row],[Fe (kg)]]/T_Info[[#This Row],[Superficie m2]],)</f>
        <v>27.58878477529808</v>
      </c>
      <c r="R51" s="22">
        <f>IFERROR(T_Info[[#This Row],[HA (m3)]]/T_Info[[#This Row],[Superficie m2]],)</f>
        <v>0.33349530566796021</v>
      </c>
      <c r="S51" s="22">
        <f>IFERROR(T_Info[[#This Row],[HA (m3)]]/T_Info[[#This Row],[MLD (m2)]],)</f>
        <v>0.1329644421924831</v>
      </c>
      <c r="T51" s="50">
        <f>IFERROR(T_Info[[#This Row],[MLD (m2)]]/T_Info[[#This Row],[Superficie m2]],)</f>
        <v>2.5081540611074273</v>
      </c>
      <c r="U51" s="49">
        <f>IFERROR(SUMIFS(T_Fe[Fund kg],T_Fe[Codigo],T_Info[[#This Row],[Codigo]])/SUMIFS(T_HA[Fund m3],T_HA[Codigo],T_Info[[#This Row],[Codigo]]),)</f>
        <v>11.756926757812503</v>
      </c>
      <c r="V51" s="22">
        <f>IFERROR(SUMIFS(T_Fe[Grua kg],T_Fe[Codigo],T_Info[[#This Row],[Codigo]])/SUMIFS(T_HA[Grua m3],T_HA[Codigo],T_Info[[#This Row],[Codigo]]),)</f>
        <v>0</v>
      </c>
      <c r="W51" s="22">
        <f>IFERROR(SUMIFS(T_Fe[Muros kg],T_Fe[Codigo],T_Info[[#This Row],[Codigo]])/SUMIFS(T_HA[Muros Int m3],T_HA[Codigo],T_Info[[#This Row],[Codigo]]),)</f>
        <v>79.447667127071838</v>
      </c>
      <c r="X51" s="22">
        <f>IFERROR(SUMIFS(T_Fe[Perimetrales kg],T_Fe[Codigo],T_Info[[#This Row],[Codigo]])/SUMIFS(T_HA[Perimetrales m3],T_HA[Codigo],T_Info[[#This Row],[Codigo]]),)</f>
        <v>105.2014579552329</v>
      </c>
      <c r="Y51" s="22">
        <f>IFERROR(SUMIFS(T_Fe[Vigas kg],T_Fe[Codigo],T_Info[[#This Row],[Codigo]])/SUMIFS(T_HA[Vigas m3],T_HA[Codigo],T_Info[[#This Row],[Codigo]]),)</f>
        <v>146.41369721038356</v>
      </c>
      <c r="Z51" s="50">
        <f>IFERROR(SUMIFS(T_Fe[Losas kg],T_Fe[Codigo],T_Info[[#This Row],[Codigo]])/SUMIFS(T_HA[Losas m3],T_HA[Codigo],T_Info[[#This Row],[Codigo]]),)</f>
        <v>82.549866683486684</v>
      </c>
      <c r="AA51" s="49">
        <f>SUMIFS(T_Fe[Fund kg/m2],T_Fe[Codigo],T_Info[[#This Row],[Codigo]])</f>
        <v>0.18</v>
      </c>
      <c r="AB51" s="22">
        <f>SUMIFS(T_Fe[Muros kg/m2],T_Fe[Codigo],T_Info[[#This Row],[Codigo]])</f>
        <v>10.320000000000002</v>
      </c>
      <c r="AC51" s="22">
        <f>SUMIFS(T_Fe[Perimetrales kg/m2],T_Fe[Codigo],T_Info[[#This Row],[Codigo]])</f>
        <v>2.5999999999999996</v>
      </c>
      <c r="AD51" s="22">
        <f>SUMIFS(T_Fe[Vigas kg/m2],T_Fe[Codigo],T_Info[[#This Row],[Codigo]])</f>
        <v>2.2599999999999998</v>
      </c>
      <c r="AE51" s="50">
        <f>SUMIFS(T_Fe[Losas kg/m2],T_Fe[Codigo],T_Info[[#This Row],[Codigo]])</f>
        <v>12.228784775298076</v>
      </c>
      <c r="AF51" s="49">
        <f>IFERROR(SUMIFS(T_HA[Fund m3/m2],T_HA[Codigo],T_Info[[#This Row],[Codigo]]),)</f>
        <v>1.531012344534592E-2</v>
      </c>
      <c r="AG51" s="22">
        <f>IFERROR(SUMIFS(T_HA[Muros Int m3/m2],T_HA[Codigo],T_Info[[#This Row],[Codigo]]),)</f>
        <v>0.12989682860660681</v>
      </c>
      <c r="AH51" s="22">
        <f>IFERROR(SUMIFS(T_HA[Perimetrales m3/m2],T_HA[Codigo],T_Info[[#This Row],[Codigo]]),)</f>
        <v>2.4714486381989077E-2</v>
      </c>
      <c r="AI51" s="22">
        <f>IFERROR(SUMIFS(T_HA[Vigas m3/m2],T_HA[Codigo],T_Info[[#This Row],[Codigo]]),)</f>
        <v>1.5435714301733527E-2</v>
      </c>
      <c r="AJ51" s="50">
        <f>IFERROR(SUMIFS(T_HA[Losas m3/m2],T_HA[Codigo],T_Info[[#This Row],[Codigo]]),)</f>
        <v>0.14813815293228483</v>
      </c>
      <c r="AK51" s="22">
        <f>IFERROR(SUMIFS(T_HA[Fund m3],T_HA[Codigo],T_Info[[#This Row],[Codigo]])/SUMIFS(T_MLD[Fund Lat m2],T_MLD[Codigo],T_Info[[#This Row],[Codigo]]),)</f>
        <v>0</v>
      </c>
      <c r="AL51" s="22">
        <f>IFERROR(SUMIFS(T_HA[Muros m3],T_HA[Codigo],T_Info[[#This Row],[Codigo]])/SUMIFS(T_MLD[Muro m2],T_MLD[Codigo],T_Info[[#This Row],[Codigo]]),)</f>
        <v>0</v>
      </c>
      <c r="AM51" s="22">
        <f>IFERROR(SUMIFS(T_HA[Vigas m3],T_HA[Codigo],T_Info[[#This Row],[Codigo]])/(SUMIFS(T_MLD[Viga Lat m2],T_MLD[Codigo],T_Info[[#This Row],[Codigo]])+SUMIFS(T_MLD[Viga Fondo m2],T_MLD[Codigo],T_Info[[#This Row],[Codigo]])),)</f>
        <v>0</v>
      </c>
      <c r="AN51" s="22">
        <f>IFERROR(SUMIFS(T_HA[Losas m3],T_HA[Codigo],T_Info[[#This Row],[Codigo]])/(SUMIFS(T_MLD[Losa Fondo m2],T_MLD[Codigo],T_Info[[#This Row],[Codigo]])+SUMIFS(T_MLD[Rebalse m2],T_MLD[Codigo],T_Info[[#This Row],[Codigo]])),)</f>
        <v>0</v>
      </c>
      <c r="AO51" s="49">
        <f>IFERROR(SUMIFS(T_MLD[Fund Lat m2],T_MLD[Codigo],T_Info[[#This Row],[Codigo]])/T_Info[[#This Row],[Superficie m2]],)</f>
        <v>0</v>
      </c>
      <c r="AP51" s="22">
        <f>IFERROR(SUMIFS(T_MLD[Muro m2],T_MLD[Codigo],T_Info[[#This Row],[Codigo]])/T_Info[[#This Row],[Superficie m2]],)</f>
        <v>0</v>
      </c>
      <c r="AQ51" s="22">
        <f>IFERROR((SUMIFS(T_MLD[Viga Lat m2],T_MLD[Codigo],T_Info[[#This Row],[Codigo]])+SUMIFS(T_MLD[Viga Fondo m2],T_MLD[Codigo],T_Info[[#This Row],[Codigo]]))/T_Info[[#This Row],[Superficie m2]],)</f>
        <v>0</v>
      </c>
      <c r="AR51" s="50">
        <f>IFERROR((SUMIFS(T_MLD[Losa Fondo m2],T_MLD[Codigo],T_Info[[#This Row],[Codigo]])+SUMIFS(T_MLD[Rebalse m2],T_MLD[Codigo],T_Info[[#This Row],[Codigo]]))/T_Info[[#This Row],[Superficie m2]],)</f>
        <v>0</v>
      </c>
    </row>
    <row r="52" spans="1:44" x14ac:dyDescent="0.25">
      <c r="A52" s="52">
        <v>51</v>
      </c>
      <c r="B52" s="34">
        <v>19014</v>
      </c>
      <c r="C52" s="46" t="s">
        <v>36</v>
      </c>
      <c r="D52" s="6" t="s">
        <v>255</v>
      </c>
      <c r="E52" s="45" t="s">
        <v>80</v>
      </c>
      <c r="F52" s="34">
        <v>2</v>
      </c>
      <c r="G52" s="34">
        <v>21</v>
      </c>
      <c r="H52" s="34">
        <v>2</v>
      </c>
      <c r="I52" s="33">
        <v>20840.91</v>
      </c>
      <c r="J52" s="30"/>
      <c r="K52" s="53"/>
      <c r="L52" s="46"/>
      <c r="M52" s="47">
        <f>SUMIFS(T_Fe[Total kg],T_Fe[Codigo],T_Info[[#This Row],[Codigo]])</f>
        <v>606663.14758804603</v>
      </c>
      <c r="N52" s="33">
        <f>SUMIFS(T_HA[Total m3],T_HA[Codigo],T_Info[[#This Row],[Codigo]])</f>
        <v>6552.89</v>
      </c>
      <c r="O52" s="48">
        <f>SUMIFS(T_MLD[Total m2],T_MLD[Codigo],T_Info[[#This Row],[Codigo]])</f>
        <v>48269.9</v>
      </c>
      <c r="P52" s="49">
        <f>IFERROR(T_Info[[#This Row],[Fe (kg)]]/T_Info[[#This Row],[HA (m3)]],)</f>
        <v>92.579479830738194</v>
      </c>
      <c r="Q52" s="22">
        <f>IFERROR(T_Info[[#This Row],[Fe (kg)]]/T_Info[[#This Row],[Superficie m2]],)</f>
        <v>29.109244634137667</v>
      </c>
      <c r="R52" s="22">
        <f>IFERROR(T_Info[[#This Row],[HA (m3)]]/T_Info[[#This Row],[Superficie m2]],)</f>
        <v>0.31442437014506563</v>
      </c>
      <c r="S52" s="22">
        <f>IFERROR(T_Info[[#This Row],[HA (m3)]]/T_Info[[#This Row],[MLD (m2)]],)</f>
        <v>0.1357552014816687</v>
      </c>
      <c r="T52" s="50">
        <f>IFERROR(T_Info[[#This Row],[MLD (m2)]]/T_Info[[#This Row],[Superficie m2]],)</f>
        <v>2.3161128760692313</v>
      </c>
      <c r="U52" s="49">
        <f>IFERROR(SUMIFS(T_Fe[Fund kg],T_Fe[Codigo],T_Info[[#This Row],[Codigo]])/SUMIFS(T_HA[Fund m3],T_HA[Codigo],T_Info[[#This Row],[Codigo]]),)</f>
        <v>24.268475238030003</v>
      </c>
      <c r="V52" s="22">
        <f>IFERROR(SUMIFS(T_Fe[Grua kg],T_Fe[Codigo],T_Info[[#This Row],[Codigo]])/SUMIFS(T_HA[Grua m3],T_HA[Codigo],T_Info[[#This Row],[Codigo]]),)</f>
        <v>0</v>
      </c>
      <c r="W52" s="22">
        <f>IFERROR(SUMIFS(T_Fe[Muros kg],T_Fe[Codigo],T_Info[[#This Row],[Codigo]])/SUMIFS(T_HA[Muros Int m3],T_HA[Codigo],T_Info[[#This Row],[Codigo]]),)</f>
        <v>102.79434288024511</v>
      </c>
      <c r="X52" s="22">
        <f>IFERROR(SUMIFS(T_Fe[Perimetrales kg],T_Fe[Codigo],T_Info[[#This Row],[Codigo]])/SUMIFS(T_HA[Perimetrales m3],T_HA[Codigo],T_Info[[#This Row],[Codigo]]),)</f>
        <v>75.353809173083377</v>
      </c>
      <c r="Y52" s="22">
        <f>IFERROR(SUMIFS(T_Fe[Vigas kg],T_Fe[Codigo],T_Info[[#This Row],[Codigo]])/SUMIFS(T_HA[Vigas m3],T_HA[Codigo],T_Info[[#This Row],[Codigo]]),)</f>
        <v>144.44989603388521</v>
      </c>
      <c r="Z52" s="50">
        <f>IFERROR(SUMIFS(T_Fe[Losas kg],T_Fe[Codigo],T_Info[[#This Row],[Codigo]])/SUMIFS(T_HA[Losas m3],T_HA[Codigo],T_Info[[#This Row],[Codigo]]),)</f>
        <v>88.403607095948217</v>
      </c>
      <c r="AA52" s="49">
        <f>SUMIFS(T_Fe[Fund kg/m2],T_Fe[Codigo],T_Info[[#This Row],[Codigo]])</f>
        <v>0.34</v>
      </c>
      <c r="AB52" s="22">
        <f>SUMIFS(T_Fe[Muros kg/m2],T_Fe[Codigo],T_Info[[#This Row],[Codigo]])</f>
        <v>11.59</v>
      </c>
      <c r="AC52" s="22">
        <f>SUMIFS(T_Fe[Perimetrales kg/m2],T_Fe[Codigo],T_Info[[#This Row],[Codigo]])</f>
        <v>1.08</v>
      </c>
      <c r="AD52" s="22">
        <f>SUMIFS(T_Fe[Vigas kg/m2],T_Fe[Codigo],T_Info[[#This Row],[Codigo]])</f>
        <v>2.52</v>
      </c>
      <c r="AE52" s="50">
        <f>SUMIFS(T_Fe[Losas kg/m2],T_Fe[Codigo],T_Info[[#This Row],[Codigo]])</f>
        <v>13.57924463413767</v>
      </c>
      <c r="AF52" s="49">
        <f>IFERROR(SUMIFS(T_HA[Fund m3/m2],T_HA[Codigo],T_Info[[#This Row],[Codigo]]),)</f>
        <v>1.4009944863252133E-2</v>
      </c>
      <c r="AG52" s="22">
        <f>IFERROR(SUMIFS(T_HA[Muros Int m3/m2],T_HA[Codigo],T_Info[[#This Row],[Codigo]]),)</f>
        <v>0.11274939529991733</v>
      </c>
      <c r="AH52" s="22">
        <f>IFERROR(SUMIFS(T_HA[Perimetrales m3/m2],T_HA[Codigo],T_Info[[#This Row],[Codigo]]),)</f>
        <v>1.4332387597278621E-2</v>
      </c>
      <c r="AI52" s="22">
        <f>IFERROR(SUMIFS(T_HA[Vigas m3/m2],T_HA[Codigo],T_Info[[#This Row],[Codigo]]),)</f>
        <v>1.7445495422224854E-2</v>
      </c>
      <c r="AJ52" s="50">
        <f>IFERROR(SUMIFS(T_HA[Losas m3/m2],T_HA[Codigo],T_Info[[#This Row],[Codigo]]),)</f>
        <v>0.15360509689835997</v>
      </c>
      <c r="AK52" s="22">
        <f>IFERROR(SUMIFS(T_HA[Fund m3],T_HA[Codigo],T_Info[[#This Row],[Codigo]])/SUMIFS(T_MLD[Fund Lat m2],T_MLD[Codigo],T_Info[[#This Row],[Codigo]]),)</f>
        <v>0</v>
      </c>
      <c r="AL52" s="22">
        <f>IFERROR(SUMIFS(T_HA[Muros m3],T_HA[Codigo],T_Info[[#This Row],[Codigo]])/SUMIFS(T_MLD[Muro m2],T_MLD[Codigo],T_Info[[#This Row],[Codigo]]),)</f>
        <v>0</v>
      </c>
      <c r="AM52" s="22">
        <f>IFERROR(SUMIFS(T_HA[Vigas m3],T_HA[Codigo],T_Info[[#This Row],[Codigo]])/(SUMIFS(T_MLD[Viga Lat m2],T_MLD[Codigo],T_Info[[#This Row],[Codigo]])+SUMIFS(T_MLD[Viga Fondo m2],T_MLD[Codigo],T_Info[[#This Row],[Codigo]])),)</f>
        <v>0</v>
      </c>
      <c r="AN52" s="22">
        <f>IFERROR(SUMIFS(T_HA[Losas m3],T_HA[Codigo],T_Info[[#This Row],[Codigo]])/(SUMIFS(T_MLD[Losa Fondo m2],T_MLD[Codigo],T_Info[[#This Row],[Codigo]])+SUMIFS(T_MLD[Rebalse m2],T_MLD[Codigo],T_Info[[#This Row],[Codigo]])),)</f>
        <v>0</v>
      </c>
      <c r="AO52" s="49">
        <f>IFERROR(SUMIFS(T_MLD[Fund Lat m2],T_MLD[Codigo],T_Info[[#This Row],[Codigo]])/T_Info[[#This Row],[Superficie m2]],)</f>
        <v>0</v>
      </c>
      <c r="AP52" s="22">
        <f>IFERROR(SUMIFS(T_MLD[Muro m2],T_MLD[Codigo],T_Info[[#This Row],[Codigo]])/T_Info[[#This Row],[Superficie m2]],)</f>
        <v>0</v>
      </c>
      <c r="AQ52" s="22">
        <f>IFERROR((SUMIFS(T_MLD[Viga Lat m2],T_MLD[Codigo],T_Info[[#This Row],[Codigo]])+SUMIFS(T_MLD[Viga Fondo m2],T_MLD[Codigo],T_Info[[#This Row],[Codigo]]))/T_Info[[#This Row],[Superficie m2]],)</f>
        <v>0</v>
      </c>
      <c r="AR52" s="50">
        <f>IFERROR((SUMIFS(T_MLD[Losa Fondo m2],T_MLD[Codigo],T_Info[[#This Row],[Codigo]])+SUMIFS(T_MLD[Rebalse m2],T_MLD[Codigo],T_Info[[#This Row],[Codigo]]))/T_Info[[#This Row],[Superficie m2]],)</f>
        <v>0</v>
      </c>
    </row>
    <row r="53" spans="1:44" x14ac:dyDescent="0.25">
      <c r="A53" s="52">
        <v>52</v>
      </c>
      <c r="B53" s="34">
        <v>19016</v>
      </c>
      <c r="C53" s="46" t="s">
        <v>47</v>
      </c>
      <c r="D53" s="6" t="s">
        <v>265</v>
      </c>
      <c r="E53" s="45" t="s">
        <v>91</v>
      </c>
      <c r="F53" s="34">
        <v>2</v>
      </c>
      <c r="G53" s="34">
        <v>8</v>
      </c>
      <c r="H53" s="34">
        <v>1</v>
      </c>
      <c r="I53" s="33">
        <v>7712.49</v>
      </c>
      <c r="J53" s="30"/>
      <c r="K53" s="53"/>
      <c r="L53" s="46"/>
      <c r="M53" s="47">
        <f>SUMIFS(T_Fe[Total kg],T_Fe[Codigo],T_Info[[#This Row],[Codigo]])</f>
        <v>209650.72649999999</v>
      </c>
      <c r="N53" s="33">
        <f>SUMIFS(T_HA[Total m3],T_HA[Codigo],T_Info[[#This Row],[Codigo]])</f>
        <v>2408.66</v>
      </c>
      <c r="O53" s="48">
        <f>SUMIFS(T_MLD[Total m2],T_MLD[Codigo],T_Info[[#This Row],[Codigo]])</f>
        <v>18758.620000000003</v>
      </c>
      <c r="P53" s="49">
        <f>IFERROR(T_Info[[#This Row],[Fe (kg)]]/T_Info[[#This Row],[HA (m3)]],)</f>
        <v>87.040398603372836</v>
      </c>
      <c r="Q53" s="22">
        <f>IFERROR(T_Info[[#This Row],[Fe (kg)]]/T_Info[[#This Row],[Superficie m2]],)</f>
        <v>27.18327368982002</v>
      </c>
      <c r="R53" s="22">
        <f>IFERROR(T_Info[[#This Row],[HA (m3)]]/T_Info[[#This Row],[Superficie m2]],)</f>
        <v>0.31230640169387575</v>
      </c>
      <c r="S53" s="22">
        <f>IFERROR(T_Info[[#This Row],[HA (m3)]]/T_Info[[#This Row],[MLD (m2)]],)</f>
        <v>0.12840283560304541</v>
      </c>
      <c r="T53" s="50">
        <f>IFERROR(T_Info[[#This Row],[MLD (m2)]]/T_Info[[#This Row],[Superficie m2]],)</f>
        <v>2.4322391341836429</v>
      </c>
      <c r="U53" s="49">
        <f>IFERROR(SUMIFS(T_Fe[Fund kg],T_Fe[Codigo],T_Info[[#This Row],[Codigo]])/SUMIFS(T_HA[Fund m3],T_HA[Codigo],T_Info[[#This Row],[Codigo]]),)</f>
        <v>31.322784895808173</v>
      </c>
      <c r="V53" s="22">
        <f>IFERROR(SUMIFS(T_Fe[Grua kg],T_Fe[Codigo],T_Info[[#This Row],[Codigo]])/SUMIFS(T_HA[Grua m3],T_HA[Codigo],T_Info[[#This Row],[Codigo]]),)</f>
        <v>0</v>
      </c>
      <c r="W53" s="22">
        <f>IFERROR(SUMIFS(T_Fe[Muros kg],T_Fe[Codigo],T_Info[[#This Row],[Codigo]])/SUMIFS(T_HA[Muros Int m3],T_HA[Codigo],T_Info[[#This Row],[Codigo]]),)</f>
        <v>94.110741071428578</v>
      </c>
      <c r="X53" s="22">
        <f>IFERROR(SUMIFS(T_Fe[Perimetrales kg],T_Fe[Codigo],T_Info[[#This Row],[Codigo]])/SUMIFS(T_HA[Perimetrales m3],T_HA[Codigo],T_Info[[#This Row],[Codigo]]),)</f>
        <v>78.155522271714929</v>
      </c>
      <c r="Y53" s="22">
        <f>IFERROR(SUMIFS(T_Fe[Vigas kg],T_Fe[Codigo],T_Info[[#This Row],[Codigo]])/SUMIFS(T_HA[Vigas m3],T_HA[Codigo],T_Info[[#This Row],[Codigo]]),)</f>
        <v>130.22591495312574</v>
      </c>
      <c r="Z53" s="50">
        <f>IFERROR(SUMIFS(T_Fe[Losas kg],T_Fe[Codigo],T_Info[[#This Row],[Codigo]])/SUMIFS(T_HA[Losas m3],T_HA[Codigo],T_Info[[#This Row],[Codigo]]),)</f>
        <v>85.496737254619987</v>
      </c>
      <c r="AA53" s="49">
        <f>SUMIFS(T_Fe[Fund kg/m2],T_Fe[Codigo],T_Info[[#This Row],[Codigo]])</f>
        <v>0.84</v>
      </c>
      <c r="AB53" s="22">
        <f>SUMIFS(T_Fe[Muros kg/m2],T_Fe[Codigo],T_Info[[#This Row],[Codigo]])</f>
        <v>9.84</v>
      </c>
      <c r="AC53" s="22">
        <f>SUMIFS(T_Fe[Perimetrales kg/m2],T_Fe[Codigo],T_Info[[#This Row],[Codigo]])</f>
        <v>0.91</v>
      </c>
      <c r="AD53" s="22">
        <f>SUMIFS(T_Fe[Vigas kg/m2],T_Fe[Codigo],T_Info[[#This Row],[Codigo]])</f>
        <v>3.26</v>
      </c>
      <c r="AE53" s="50">
        <f>SUMIFS(T_Fe[Losas kg/m2],T_Fe[Codigo],T_Info[[#This Row],[Codigo]])</f>
        <v>12.333273689820022</v>
      </c>
      <c r="AF53" s="49">
        <f>IFERROR(SUMIFS(T_HA[Fund m3/m2],T_HA[Codigo],T_Info[[#This Row],[Codigo]]),)</f>
        <v>2.6817538823389053E-2</v>
      </c>
      <c r="AG53" s="22">
        <f>IFERROR(SUMIFS(T_HA[Muros Int m3/m2],T_HA[Codigo],T_Info[[#This Row],[Codigo]]),)</f>
        <v>0.10455767203587946</v>
      </c>
      <c r="AH53" s="22">
        <f>IFERROR(SUMIFS(T_HA[Perimetrales m3/m2],T_HA[Codigo],T_Info[[#This Row],[Codigo]]),)</f>
        <v>1.1643451077408204E-2</v>
      </c>
      <c r="AI53" s="22">
        <f>IFERROR(SUMIFS(T_HA[Vigas m3/m2],T_HA[Codigo],T_Info[[#This Row],[Codigo]]),)</f>
        <v>2.5033419816427649E-2</v>
      </c>
      <c r="AJ53" s="50">
        <f>IFERROR(SUMIFS(T_HA[Losas m3/m2],T_HA[Codigo],T_Info[[#This Row],[Codigo]]),)</f>
        <v>0.1442543199407714</v>
      </c>
      <c r="AK53" s="22">
        <f>IFERROR(SUMIFS(T_HA[Fund m3],T_HA[Codigo],T_Info[[#This Row],[Codigo]])/SUMIFS(T_MLD[Fund Lat m2],T_MLD[Codigo],T_Info[[#This Row],[Codigo]]),)</f>
        <v>0</v>
      </c>
      <c r="AL53" s="22">
        <f>IFERROR(SUMIFS(T_HA[Muros m3],T_HA[Codigo],T_Info[[#This Row],[Codigo]])/SUMIFS(T_MLD[Muro m2],T_MLD[Codigo],T_Info[[#This Row],[Codigo]]),)</f>
        <v>0</v>
      </c>
      <c r="AM53" s="22">
        <f>IFERROR(SUMIFS(T_HA[Vigas m3],T_HA[Codigo],T_Info[[#This Row],[Codigo]])/(SUMIFS(T_MLD[Viga Lat m2],T_MLD[Codigo],T_Info[[#This Row],[Codigo]])+SUMIFS(T_MLD[Viga Fondo m2],T_MLD[Codigo],T_Info[[#This Row],[Codigo]])),)</f>
        <v>0</v>
      </c>
      <c r="AN53" s="22">
        <f>IFERROR(SUMIFS(T_HA[Losas m3],T_HA[Codigo],T_Info[[#This Row],[Codigo]])/(SUMIFS(T_MLD[Losa Fondo m2],T_MLD[Codigo],T_Info[[#This Row],[Codigo]])+SUMIFS(T_MLD[Rebalse m2],T_MLD[Codigo],T_Info[[#This Row],[Codigo]])),)</f>
        <v>0</v>
      </c>
      <c r="AO53" s="49">
        <f>IFERROR(SUMIFS(T_MLD[Fund Lat m2],T_MLD[Codigo],T_Info[[#This Row],[Codigo]])/T_Info[[#This Row],[Superficie m2]],)</f>
        <v>0</v>
      </c>
      <c r="AP53" s="22">
        <f>IFERROR(SUMIFS(T_MLD[Muro m2],T_MLD[Codigo],T_Info[[#This Row],[Codigo]])/T_Info[[#This Row],[Superficie m2]],)</f>
        <v>0</v>
      </c>
      <c r="AQ53" s="22">
        <f>IFERROR((SUMIFS(T_MLD[Viga Lat m2],T_MLD[Codigo],T_Info[[#This Row],[Codigo]])+SUMIFS(T_MLD[Viga Fondo m2],T_MLD[Codigo],T_Info[[#This Row],[Codigo]]))/T_Info[[#This Row],[Superficie m2]],)</f>
        <v>0</v>
      </c>
      <c r="AR53" s="50">
        <f>IFERROR((SUMIFS(T_MLD[Losa Fondo m2],T_MLD[Codigo],T_Info[[#This Row],[Codigo]])+SUMIFS(T_MLD[Rebalse m2],T_MLD[Codigo],T_Info[[#This Row],[Codigo]]))/T_Info[[#This Row],[Superficie m2]],)</f>
        <v>0</v>
      </c>
    </row>
    <row r="54" spans="1:44" x14ac:dyDescent="0.25">
      <c r="A54" s="52">
        <v>53</v>
      </c>
      <c r="B54" s="34">
        <v>19051</v>
      </c>
      <c r="C54" s="46" t="s">
        <v>38</v>
      </c>
      <c r="D54" s="6" t="s">
        <v>266</v>
      </c>
      <c r="E54" s="45" t="s">
        <v>80</v>
      </c>
      <c r="F54" s="34">
        <v>2</v>
      </c>
      <c r="G54" s="34">
        <v>5</v>
      </c>
      <c r="H54" s="34">
        <v>1</v>
      </c>
      <c r="I54" s="33">
        <v>5015.8999999999996</v>
      </c>
      <c r="J54" s="30"/>
      <c r="K54" s="53"/>
      <c r="L54" s="46"/>
      <c r="M54" s="47">
        <f>SUMIFS(T_Fe[Total kg],T_Fe[Codigo],T_Info[[#This Row],[Codigo]])</f>
        <v>134827.39199999999</v>
      </c>
      <c r="N54" s="33">
        <f>SUMIFS(T_HA[Total m3],T_HA[Codigo],T_Info[[#This Row],[Codigo]])</f>
        <v>1788.8</v>
      </c>
      <c r="O54" s="48">
        <f>SUMIFS(T_MLD[Total m2],T_MLD[Codigo],T_Info[[#This Row],[Codigo]])</f>
        <v>13539.4</v>
      </c>
      <c r="P54" s="49">
        <f>IFERROR(T_Info[[#This Row],[Fe (kg)]]/T_Info[[#This Row],[HA (m3)]],)</f>
        <v>75.373094812164581</v>
      </c>
      <c r="Q54" s="22">
        <f>IFERROR(T_Info[[#This Row],[Fe (kg)]]/T_Info[[#This Row],[Superficie m2]],)</f>
        <v>26.88</v>
      </c>
      <c r="R54" s="22">
        <f>IFERROR(T_Info[[#This Row],[HA (m3)]]/T_Info[[#This Row],[Superficie m2]],)</f>
        <v>0.35662592954404992</v>
      </c>
      <c r="S54" s="22">
        <f>IFERROR(T_Info[[#This Row],[HA (m3)]]/T_Info[[#This Row],[MLD (m2)]],)</f>
        <v>0.13211811453978758</v>
      </c>
      <c r="T54" s="50">
        <f>IFERROR(T_Info[[#This Row],[MLD (m2)]]/T_Info[[#This Row],[Superficie m2]],)</f>
        <v>2.699296237963277</v>
      </c>
      <c r="U54" s="49">
        <f>IFERROR(SUMIFS(T_Fe[Fund kg],T_Fe[Codigo],T_Info[[#This Row],[Codigo]])/SUMIFS(T_HA[Fund m3],T_HA[Codigo],T_Info[[#This Row],[Codigo]]),)</f>
        <v>16.180322580645161</v>
      </c>
      <c r="V54" s="22">
        <f>IFERROR(SUMIFS(T_Fe[Grua kg],T_Fe[Codigo],T_Info[[#This Row],[Codigo]])/SUMIFS(T_HA[Grua m3],T_HA[Codigo],T_Info[[#This Row],[Codigo]]),)</f>
        <v>0</v>
      </c>
      <c r="W54" s="22">
        <f>IFERROR(SUMIFS(T_Fe[Muros kg],T_Fe[Codigo],T_Info[[#This Row],[Codigo]])/SUMIFS(T_HA[Muros Int m3],T_HA[Codigo],T_Info[[#This Row],[Codigo]]),)</f>
        <v>74.671126404049986</v>
      </c>
      <c r="X54" s="22">
        <f>IFERROR(SUMIFS(T_Fe[Perimetrales kg],T_Fe[Codigo],T_Info[[#This Row],[Codigo]])/SUMIFS(T_HA[Perimetrales m3],T_HA[Codigo],T_Info[[#This Row],[Codigo]]),)</f>
        <v>102.32590454195534</v>
      </c>
      <c r="Y54" s="22">
        <f>IFERROR(SUMIFS(T_Fe[Vigas kg],T_Fe[Codigo],T_Info[[#This Row],[Codigo]])/SUMIFS(T_HA[Vigas m3],T_HA[Codigo],T_Info[[#This Row],[Codigo]]),)</f>
        <v>123.23547413793102</v>
      </c>
      <c r="Z54" s="50">
        <f>IFERROR(SUMIFS(T_Fe[Losas kg],T_Fe[Codigo],T_Info[[#This Row],[Codigo]])/SUMIFS(T_HA[Losas m3],T_HA[Codigo],T_Info[[#This Row],[Codigo]]),)</f>
        <v>70.58665725806452</v>
      </c>
      <c r="AA54" s="49">
        <f>SUMIFS(T_Fe[Fund kg/m2],T_Fe[Codigo],T_Info[[#This Row],[Codigo]])</f>
        <v>0.36</v>
      </c>
      <c r="AB54" s="22">
        <f>SUMIFS(T_Fe[Muros kg/m2],T_Fe[Codigo],T_Info[[#This Row],[Codigo]])</f>
        <v>9.41</v>
      </c>
      <c r="AC54" s="22">
        <f>SUMIFS(T_Fe[Perimetrales kg/m2],T_Fe[Codigo],T_Info[[#This Row],[Codigo]])</f>
        <v>2.65</v>
      </c>
      <c r="AD54" s="22">
        <f>SUMIFS(T_Fe[Vigas kg/m2],T_Fe[Codigo],T_Info[[#This Row],[Codigo]])</f>
        <v>3.99</v>
      </c>
      <c r="AE54" s="50">
        <f>SUMIFS(T_Fe[Losas kg/m2],T_Fe[Codigo],T_Info[[#This Row],[Codigo]])</f>
        <v>10.47</v>
      </c>
      <c r="AF54" s="49">
        <f>IFERROR(SUMIFS(T_HA[Fund m3/m2],T_HA[Codigo],T_Info[[#This Row],[Codigo]]),)</f>
        <v>2.2249247393289342E-2</v>
      </c>
      <c r="AG54" s="22">
        <f>IFERROR(SUMIFS(T_HA[Muros Int m3/m2],T_HA[Codigo],T_Info[[#This Row],[Codigo]]),)</f>
        <v>0.12601925875715228</v>
      </c>
      <c r="AH54" s="22">
        <f>IFERROR(SUMIFS(T_HA[Perimetrales m3/m2],T_HA[Codigo],T_Info[[#This Row],[Codigo]]),)</f>
        <v>2.589764548735023E-2</v>
      </c>
      <c r="AI54" s="22">
        <f>IFERROR(SUMIFS(T_HA[Vigas m3/m2],T_HA[Codigo],T_Info[[#This Row],[Codigo]]),)</f>
        <v>3.2377041009589512E-2</v>
      </c>
      <c r="AJ54" s="50">
        <f>IFERROR(SUMIFS(T_HA[Losas m3/m2],T_HA[Codigo],T_Info[[#This Row],[Codigo]]),)</f>
        <v>0.14832831595526227</v>
      </c>
      <c r="AK54" s="22">
        <f>IFERROR(SUMIFS(T_HA[Fund m3],T_HA[Codigo],T_Info[[#This Row],[Codigo]])/SUMIFS(T_MLD[Fund Lat m2],T_MLD[Codigo],T_Info[[#This Row],[Codigo]]),)</f>
        <v>0</v>
      </c>
      <c r="AL54" s="22">
        <f>IFERROR(SUMIFS(T_HA[Muros m3],T_HA[Codigo],T_Info[[#This Row],[Codigo]])/SUMIFS(T_MLD[Muro m2],T_MLD[Codigo],T_Info[[#This Row],[Codigo]]),)</f>
        <v>0</v>
      </c>
      <c r="AM54" s="22">
        <f>IFERROR(SUMIFS(T_HA[Vigas m3],T_HA[Codigo],T_Info[[#This Row],[Codigo]])/(SUMIFS(T_MLD[Viga Lat m2],T_MLD[Codigo],T_Info[[#This Row],[Codigo]])+SUMIFS(T_MLD[Viga Fondo m2],T_MLD[Codigo],T_Info[[#This Row],[Codigo]])),)</f>
        <v>0</v>
      </c>
      <c r="AN54" s="22">
        <f>IFERROR(SUMIFS(T_HA[Losas m3],T_HA[Codigo],T_Info[[#This Row],[Codigo]])/(SUMIFS(T_MLD[Losa Fondo m2],T_MLD[Codigo],T_Info[[#This Row],[Codigo]])+SUMIFS(T_MLD[Rebalse m2],T_MLD[Codigo],T_Info[[#This Row],[Codigo]])),)</f>
        <v>0</v>
      </c>
      <c r="AO54" s="49">
        <f>IFERROR(SUMIFS(T_MLD[Fund Lat m2],T_MLD[Codigo],T_Info[[#This Row],[Codigo]])/T_Info[[#This Row],[Superficie m2]],)</f>
        <v>0</v>
      </c>
      <c r="AP54" s="22">
        <f>IFERROR(SUMIFS(T_MLD[Muro m2],T_MLD[Codigo],T_Info[[#This Row],[Codigo]])/T_Info[[#This Row],[Superficie m2]],)</f>
        <v>0</v>
      </c>
      <c r="AQ54" s="22">
        <f>IFERROR((SUMIFS(T_MLD[Viga Lat m2],T_MLD[Codigo],T_Info[[#This Row],[Codigo]])+SUMIFS(T_MLD[Viga Fondo m2],T_MLD[Codigo],T_Info[[#This Row],[Codigo]]))/T_Info[[#This Row],[Superficie m2]],)</f>
        <v>0</v>
      </c>
      <c r="AR54" s="50">
        <f>IFERROR((SUMIFS(T_MLD[Losa Fondo m2],T_MLD[Codigo],T_Info[[#This Row],[Codigo]])+SUMIFS(T_MLD[Rebalse m2],T_MLD[Codigo],T_Info[[#This Row],[Codigo]]))/T_Info[[#This Row],[Superficie m2]],)</f>
        <v>0</v>
      </c>
    </row>
    <row r="55" spans="1:44" x14ac:dyDescent="0.25">
      <c r="A55" s="52">
        <v>54</v>
      </c>
      <c r="B55" s="34">
        <v>19058</v>
      </c>
      <c r="C55" s="46" t="s">
        <v>48</v>
      </c>
      <c r="D55" s="6" t="s">
        <v>255</v>
      </c>
      <c r="E55" s="45" t="s">
        <v>80</v>
      </c>
      <c r="F55" s="34">
        <v>2</v>
      </c>
      <c r="G55" s="34">
        <v>7</v>
      </c>
      <c r="H55" s="34">
        <v>2</v>
      </c>
      <c r="I55" s="33">
        <v>10586.32</v>
      </c>
      <c r="J55" s="30"/>
      <c r="K55" s="53"/>
      <c r="L55" s="46"/>
      <c r="M55" s="47">
        <f>SUMIFS(T_Fe[Total kg],T_Fe[Codigo],T_Info[[#This Row],[Codigo]])</f>
        <v>311872.98719999997</v>
      </c>
      <c r="N55" s="33">
        <f>SUMIFS(T_HA[Total m3],T_HA[Codigo],T_Info[[#This Row],[Codigo]])</f>
        <v>3720</v>
      </c>
      <c r="O55" s="48">
        <f>SUMIFS(T_MLD[Total m2],T_MLD[Codigo],T_Info[[#This Row],[Codigo]])</f>
        <v>0</v>
      </c>
      <c r="P55" s="49">
        <f>IFERROR(T_Info[[#This Row],[Fe (kg)]]/T_Info[[#This Row],[HA (m3)]],)</f>
        <v>83.836824516129028</v>
      </c>
      <c r="Q55" s="22">
        <f>IFERROR(T_Info[[#This Row],[Fe (kg)]]/T_Info[[#This Row],[Superficie m2]],)</f>
        <v>29.459999999999997</v>
      </c>
      <c r="R55" s="22">
        <f>IFERROR(T_Info[[#This Row],[HA (m3)]]/T_Info[[#This Row],[Superficie m2]],)</f>
        <v>0.35139689712761374</v>
      </c>
      <c r="S55" s="22">
        <f>IFERROR(T_Info[[#This Row],[HA (m3)]]/T_Info[[#This Row],[MLD (m2)]],)</f>
        <v>0</v>
      </c>
      <c r="T55" s="50">
        <f>IFERROR(T_Info[[#This Row],[MLD (m2)]]/T_Info[[#This Row],[Superficie m2]],)</f>
        <v>0</v>
      </c>
      <c r="U55" s="49">
        <f>IFERROR(SUMIFS(T_Fe[Fund kg],T_Fe[Codigo],T_Info[[#This Row],[Codigo]])/SUMIFS(T_HA[Fund m3],T_HA[Codigo],T_Info[[#This Row],[Codigo]]),)</f>
        <v>16.236687116564415</v>
      </c>
      <c r="V55" s="22">
        <f>IFERROR(SUMIFS(T_Fe[Grua kg],T_Fe[Codigo],T_Info[[#This Row],[Codigo]])/SUMIFS(T_HA[Grua m3],T_HA[Codigo],T_Info[[#This Row],[Codigo]]),)</f>
        <v>0</v>
      </c>
      <c r="W55" s="22">
        <f>IFERROR(SUMIFS(T_Fe[Muros kg],T_Fe[Codigo],T_Info[[#This Row],[Codigo]])/SUMIFS(T_HA[Muros Int m3],T_HA[Codigo],T_Info[[#This Row],[Codigo]]),)</f>
        <v>77.60962184343434</v>
      </c>
      <c r="X55" s="22">
        <f>IFERROR(SUMIFS(T_Fe[Perimetrales kg],T_Fe[Codigo],T_Info[[#This Row],[Codigo]])/SUMIFS(T_HA[Perimetrales m3],T_HA[Codigo],T_Info[[#This Row],[Codigo]]),)</f>
        <v>99.058323840520728</v>
      </c>
      <c r="Y55" s="22">
        <f>IFERROR(SUMIFS(T_Fe[Vigas kg],T_Fe[Codigo],T_Info[[#This Row],[Codigo]])/SUMIFS(T_HA[Vigas m3],T_HA[Codigo],T_Info[[#This Row],[Codigo]]),)</f>
        <v>151.82647253705318</v>
      </c>
      <c r="Z55" s="50">
        <f>IFERROR(SUMIFS(T_Fe[Losas kg],T_Fe[Codigo],T_Info[[#This Row],[Codigo]])/SUMIFS(T_HA[Losas m3],T_HA[Codigo],T_Info[[#This Row],[Codigo]]),)</f>
        <v>84.833136700336681</v>
      </c>
      <c r="AA55" s="49">
        <f>SUMIFS(T_Fe[Fund kg/m2],T_Fe[Codigo],T_Info[[#This Row],[Codigo]])</f>
        <v>0.3</v>
      </c>
      <c r="AB55" s="22">
        <f>SUMIFS(T_Fe[Muros kg/m2],T_Fe[Codigo],T_Info[[#This Row],[Codigo]])</f>
        <v>9.2899999999999991</v>
      </c>
      <c r="AC55" s="22">
        <f>SUMIFS(T_Fe[Perimetrales kg/m2],T_Fe[Codigo],T_Info[[#This Row],[Codigo]])</f>
        <v>2.2999999999999998</v>
      </c>
      <c r="AD55" s="22">
        <f>SUMIFS(T_Fe[Vigas kg/m2],T_Fe[Codigo],T_Info[[#This Row],[Codigo]])</f>
        <v>3.29</v>
      </c>
      <c r="AE55" s="50">
        <f>SUMIFS(T_Fe[Losas kg/m2],T_Fe[Codigo],T_Info[[#This Row],[Codigo]])</f>
        <v>14.279999999999998</v>
      </c>
      <c r="AF55" s="49">
        <f>IFERROR(SUMIFS(T_HA[Fund m3/m2],T_HA[Codigo],T_Info[[#This Row],[Codigo]]),)</f>
        <v>1.8476675558645496E-2</v>
      </c>
      <c r="AG55" s="22">
        <f>IFERROR(SUMIFS(T_HA[Muros Int m3/m2],T_HA[Codigo],T_Info[[#This Row],[Codigo]]),)</f>
        <v>0.11970165269895489</v>
      </c>
      <c r="AH55" s="22">
        <f>IFERROR(SUMIFS(T_HA[Perimetrales m3/m2],T_HA[Codigo],T_Info[[#This Row],[Codigo]]),)</f>
        <v>2.3218644439238566E-2</v>
      </c>
      <c r="AI55" s="22">
        <f>IFERROR(SUMIFS(T_HA[Vigas m3/m2],T_HA[Codigo],T_Info[[#This Row],[Codigo]]),)</f>
        <v>2.1669475322869516E-2</v>
      </c>
      <c r="AJ55" s="50">
        <f>IFERROR(SUMIFS(T_HA[Losas m3/m2],T_HA[Codigo],T_Info[[#This Row],[Codigo]]),)</f>
        <v>0.16833044910790529</v>
      </c>
      <c r="AK55" s="22">
        <f>IFERROR(SUMIFS(T_HA[Fund m3],T_HA[Codigo],T_Info[[#This Row],[Codigo]])/SUMIFS(T_MLD[Fund Lat m2],T_MLD[Codigo],T_Info[[#This Row],[Codigo]]),)</f>
        <v>0</v>
      </c>
      <c r="AL55" s="22">
        <f>IFERROR(SUMIFS(T_HA[Muros m3],T_HA[Codigo],T_Info[[#This Row],[Codigo]])/SUMIFS(T_MLD[Muro m2],T_MLD[Codigo],T_Info[[#This Row],[Codigo]]),)</f>
        <v>0</v>
      </c>
      <c r="AM55" s="22">
        <f>IFERROR(SUMIFS(T_HA[Vigas m3],T_HA[Codigo],T_Info[[#This Row],[Codigo]])/(SUMIFS(T_MLD[Viga Lat m2],T_MLD[Codigo],T_Info[[#This Row],[Codigo]])+SUMIFS(T_MLD[Viga Fondo m2],T_MLD[Codigo],T_Info[[#This Row],[Codigo]])),)</f>
        <v>0</v>
      </c>
      <c r="AN55" s="22">
        <f>IFERROR(SUMIFS(T_HA[Losas m3],T_HA[Codigo],T_Info[[#This Row],[Codigo]])/(SUMIFS(T_MLD[Losa Fondo m2],T_MLD[Codigo],T_Info[[#This Row],[Codigo]])+SUMIFS(T_MLD[Rebalse m2],T_MLD[Codigo],T_Info[[#This Row],[Codigo]])),)</f>
        <v>0</v>
      </c>
      <c r="AO55" s="49">
        <f>IFERROR(SUMIFS(T_MLD[Fund Lat m2],T_MLD[Codigo],T_Info[[#This Row],[Codigo]])/T_Info[[#This Row],[Superficie m2]],)</f>
        <v>0</v>
      </c>
      <c r="AP55" s="22">
        <f>IFERROR(SUMIFS(T_MLD[Muro m2],T_MLD[Codigo],T_Info[[#This Row],[Codigo]])/T_Info[[#This Row],[Superficie m2]],)</f>
        <v>0</v>
      </c>
      <c r="AQ55" s="22">
        <f>IFERROR((SUMIFS(T_MLD[Viga Lat m2],T_MLD[Codigo],T_Info[[#This Row],[Codigo]])+SUMIFS(T_MLD[Viga Fondo m2],T_MLD[Codigo],T_Info[[#This Row],[Codigo]]))/T_Info[[#This Row],[Superficie m2]],)</f>
        <v>0</v>
      </c>
      <c r="AR55" s="50">
        <f>IFERROR((SUMIFS(T_MLD[Losa Fondo m2],T_MLD[Codigo],T_Info[[#This Row],[Codigo]])+SUMIFS(T_MLD[Rebalse m2],T_MLD[Codigo],T_Info[[#This Row],[Codigo]]))/T_Info[[#This Row],[Superficie m2]],)</f>
        <v>0</v>
      </c>
    </row>
    <row r="56" spans="1:44" x14ac:dyDescent="0.25">
      <c r="A56" s="52">
        <v>55</v>
      </c>
      <c r="B56" s="34">
        <v>19068</v>
      </c>
      <c r="C56" s="46" t="s">
        <v>49</v>
      </c>
      <c r="D56" s="6" t="s">
        <v>261</v>
      </c>
      <c r="E56" s="45" t="s">
        <v>80</v>
      </c>
      <c r="F56" s="34">
        <v>2</v>
      </c>
      <c r="G56" s="34">
        <v>15</v>
      </c>
      <c r="H56" s="34">
        <v>4</v>
      </c>
      <c r="I56" s="33">
        <v>11699.02</v>
      </c>
      <c r="J56" s="30"/>
      <c r="K56" s="53"/>
      <c r="L56" s="46"/>
      <c r="M56" s="47">
        <f>SUMIFS(T_Fe[Total kg],T_Fe[Codigo],T_Info[[#This Row],[Codigo]])</f>
        <v>356820.11</v>
      </c>
      <c r="N56" s="33">
        <f>SUMIFS(T_HA[Total m3],T_HA[Codigo],T_Info[[#This Row],[Codigo]])</f>
        <v>4007.8999999999996</v>
      </c>
      <c r="O56" s="48">
        <f>SUMIFS(T_MLD[Total m2],T_MLD[Codigo],T_Info[[#This Row],[Codigo]])</f>
        <v>0</v>
      </c>
      <c r="P56" s="49">
        <f>IFERROR(T_Info[[#This Row],[Fe (kg)]]/T_Info[[#This Row],[HA (m3)]],)</f>
        <v>89.029194840190627</v>
      </c>
      <c r="Q56" s="22">
        <f>IFERROR(T_Info[[#This Row],[Fe (kg)]]/T_Info[[#This Row],[Superficie m2]],)</f>
        <v>30.499999999999996</v>
      </c>
      <c r="R56" s="22">
        <f>IFERROR(T_Info[[#This Row],[HA (m3)]]/T_Info[[#This Row],[Superficie m2]],)</f>
        <v>0.34258425064663534</v>
      </c>
      <c r="S56" s="22">
        <f>IFERROR(T_Info[[#This Row],[HA (m3)]]/T_Info[[#This Row],[MLD (m2)]],)</f>
        <v>0</v>
      </c>
      <c r="T56" s="50">
        <f>IFERROR(T_Info[[#This Row],[MLD (m2)]]/T_Info[[#This Row],[Superficie m2]],)</f>
        <v>0</v>
      </c>
      <c r="U56" s="49">
        <f>IFERROR(SUMIFS(T_Fe[Fund kg],T_Fe[Codigo],T_Info[[#This Row],[Codigo]])/SUMIFS(T_HA[Fund m3],T_HA[Codigo],T_Info[[#This Row],[Codigo]]),)</f>
        <v>12.799803063457331</v>
      </c>
      <c r="V56" s="22">
        <f>IFERROR(SUMIFS(T_Fe[Grua kg],T_Fe[Codigo],T_Info[[#This Row],[Codigo]])/SUMIFS(T_HA[Grua m3],T_HA[Codigo],T_Info[[#This Row],[Codigo]]),)</f>
        <v>0</v>
      </c>
      <c r="W56" s="22">
        <f>IFERROR(SUMIFS(T_Fe[Muros kg],T_Fe[Codigo],T_Info[[#This Row],[Codigo]])/SUMIFS(T_HA[Muros Int m3],T_HA[Codigo],T_Info[[#This Row],[Codigo]]),)</f>
        <v>105.6048091315275</v>
      </c>
      <c r="X56" s="22">
        <f>IFERROR(SUMIFS(T_Fe[Perimetrales kg],T_Fe[Codigo],T_Info[[#This Row],[Codigo]])/SUMIFS(T_HA[Perimetrales m3],T_HA[Codigo],T_Info[[#This Row],[Codigo]]),)</f>
        <v>67.820405797101458</v>
      </c>
      <c r="Y56" s="22">
        <f>IFERROR(SUMIFS(T_Fe[Vigas kg],T_Fe[Codigo],T_Info[[#This Row],[Codigo]])/SUMIFS(T_HA[Vigas m3],T_HA[Codigo],T_Info[[#This Row],[Codigo]]),)</f>
        <v>226.18105333333332</v>
      </c>
      <c r="Z56" s="50">
        <f>IFERROR(SUMIFS(T_Fe[Losas kg],T_Fe[Codigo],T_Info[[#This Row],[Codigo]])/SUMIFS(T_HA[Losas m3],T_HA[Codigo],T_Info[[#This Row],[Codigo]]),)</f>
        <v>83.968396974350227</v>
      </c>
      <c r="AA56" s="49">
        <f>SUMIFS(T_Fe[Fund kg/m2],T_Fe[Codigo],T_Info[[#This Row],[Codigo]])</f>
        <v>0.2</v>
      </c>
      <c r="AB56" s="22">
        <f>SUMIFS(T_Fe[Muros kg/m2],T_Fe[Codigo],T_Info[[#This Row],[Codigo]])</f>
        <v>12.93</v>
      </c>
      <c r="AC56" s="22">
        <f>SUMIFS(T_Fe[Perimetrales kg/m2],T_Fe[Codigo],T_Info[[#This Row],[Codigo]])</f>
        <v>2.72</v>
      </c>
      <c r="AD56" s="22">
        <f>SUMIFS(T_Fe[Vigas kg/m2],T_Fe[Codigo],T_Info[[#This Row],[Codigo]])</f>
        <v>2.0299999999999998</v>
      </c>
      <c r="AE56" s="50">
        <f>SUMIFS(T_Fe[Losas kg/m2],T_Fe[Codigo],T_Info[[#This Row],[Codigo]])</f>
        <v>12.62</v>
      </c>
      <c r="AF56" s="49">
        <f>IFERROR(SUMIFS(T_HA[Fund m3/m2],T_HA[Codigo],T_Info[[#This Row],[Codigo]]),)</f>
        <v>1.5625240404751852E-2</v>
      </c>
      <c r="AG56" s="22">
        <f>IFERROR(SUMIFS(T_HA[Muros Int m3/m2],T_HA[Codigo],T_Info[[#This Row],[Codigo]]),)</f>
        <v>0.12243760588493738</v>
      </c>
      <c r="AH56" s="22">
        <f>IFERROR(SUMIFS(T_HA[Perimetrales m3/m2],T_HA[Codigo],T_Info[[#This Row],[Codigo]]),)</f>
        <v>4.0105923402131115E-2</v>
      </c>
      <c r="AI56" s="22">
        <f>IFERROR(SUMIFS(T_HA[Vigas m3/m2],T_HA[Codigo],T_Info[[#This Row],[Codigo]]),)</f>
        <v>8.9751107357710306E-3</v>
      </c>
      <c r="AJ56" s="50">
        <f>IFERROR(SUMIFS(T_HA[Losas m3/m2],T_HA[Codigo],T_Info[[#This Row],[Codigo]]),)</f>
        <v>0.15029464006386858</v>
      </c>
      <c r="AK56" s="22">
        <f>IFERROR(SUMIFS(T_HA[Fund m3],T_HA[Codigo],T_Info[[#This Row],[Codigo]])/SUMIFS(T_MLD[Fund Lat m2],T_MLD[Codigo],T_Info[[#This Row],[Codigo]]),)</f>
        <v>0</v>
      </c>
      <c r="AL56" s="22">
        <f>IFERROR(SUMIFS(T_HA[Muros m3],T_HA[Codigo],T_Info[[#This Row],[Codigo]])/SUMIFS(T_MLD[Muro m2],T_MLD[Codigo],T_Info[[#This Row],[Codigo]]),)</f>
        <v>0</v>
      </c>
      <c r="AM56" s="22">
        <f>IFERROR(SUMIFS(T_HA[Vigas m3],T_HA[Codigo],T_Info[[#This Row],[Codigo]])/(SUMIFS(T_MLD[Viga Lat m2],T_MLD[Codigo],T_Info[[#This Row],[Codigo]])+SUMIFS(T_MLD[Viga Fondo m2],T_MLD[Codigo],T_Info[[#This Row],[Codigo]])),)</f>
        <v>0</v>
      </c>
      <c r="AN56" s="22">
        <f>IFERROR(SUMIFS(T_HA[Losas m3],T_HA[Codigo],T_Info[[#This Row],[Codigo]])/(SUMIFS(T_MLD[Losa Fondo m2],T_MLD[Codigo],T_Info[[#This Row],[Codigo]])+SUMIFS(T_MLD[Rebalse m2],T_MLD[Codigo],T_Info[[#This Row],[Codigo]])),)</f>
        <v>0</v>
      </c>
      <c r="AO56" s="49">
        <f>IFERROR(SUMIFS(T_MLD[Fund Lat m2],T_MLD[Codigo],T_Info[[#This Row],[Codigo]])/T_Info[[#This Row],[Superficie m2]],)</f>
        <v>0</v>
      </c>
      <c r="AP56" s="22">
        <f>IFERROR(SUMIFS(T_MLD[Muro m2],T_MLD[Codigo],T_Info[[#This Row],[Codigo]])/T_Info[[#This Row],[Superficie m2]],)</f>
        <v>0</v>
      </c>
      <c r="AQ56" s="22">
        <f>IFERROR((SUMIFS(T_MLD[Viga Lat m2],T_MLD[Codigo],T_Info[[#This Row],[Codigo]])+SUMIFS(T_MLD[Viga Fondo m2],T_MLD[Codigo],T_Info[[#This Row],[Codigo]]))/T_Info[[#This Row],[Superficie m2]],)</f>
        <v>0</v>
      </c>
      <c r="AR56" s="50">
        <f>IFERROR((SUMIFS(T_MLD[Losa Fondo m2],T_MLD[Codigo],T_Info[[#This Row],[Codigo]])+SUMIFS(T_MLD[Rebalse m2],T_MLD[Codigo],T_Info[[#This Row],[Codigo]]))/T_Info[[#This Row],[Superficie m2]],)</f>
        <v>0</v>
      </c>
    </row>
    <row r="57" spans="1:44" x14ac:dyDescent="0.25">
      <c r="A57" s="52">
        <v>56</v>
      </c>
      <c r="B57" s="34">
        <v>19078</v>
      </c>
      <c r="C57" s="46" t="s">
        <v>50</v>
      </c>
      <c r="D57" s="6" t="s">
        <v>254</v>
      </c>
      <c r="E57" s="45" t="s">
        <v>80</v>
      </c>
      <c r="F57" s="34">
        <v>2</v>
      </c>
      <c r="G57" s="34">
        <v>12</v>
      </c>
      <c r="H57" s="34">
        <v>2</v>
      </c>
      <c r="I57" s="33">
        <v>21858</v>
      </c>
      <c r="J57" s="30"/>
      <c r="K57" s="53"/>
      <c r="L57" s="46"/>
      <c r="M57" s="47">
        <f>SUMIFS(T_Fe[Total kg],T_Fe[Codigo],T_Info[[#This Row],[Codigo]])</f>
        <v>641313.72</v>
      </c>
      <c r="N57" s="33">
        <f>SUMIFS(T_HA[Total m3],T_HA[Codigo],T_Info[[#This Row],[Codigo]])</f>
        <v>7330</v>
      </c>
      <c r="O57" s="48">
        <f>SUMIFS(T_MLD[Total m2],T_MLD[Codigo],T_Info[[#This Row],[Codigo]])</f>
        <v>0</v>
      </c>
      <c r="P57" s="49">
        <f>IFERROR(T_Info[[#This Row],[Fe (kg)]]/T_Info[[#This Row],[HA (m3)]],)</f>
        <v>87.491639836289224</v>
      </c>
      <c r="Q57" s="22">
        <f>IFERROR(T_Info[[#This Row],[Fe (kg)]]/T_Info[[#This Row],[Superficie m2]],)</f>
        <v>29.34</v>
      </c>
      <c r="R57" s="22">
        <f>IFERROR(T_Info[[#This Row],[HA (m3)]]/T_Info[[#This Row],[Superficie m2]],)</f>
        <v>0.33534632628785799</v>
      </c>
      <c r="S57" s="22">
        <f>IFERROR(T_Info[[#This Row],[HA (m3)]]/T_Info[[#This Row],[MLD (m2)]],)</f>
        <v>0</v>
      </c>
      <c r="T57" s="50">
        <f>IFERROR(T_Info[[#This Row],[MLD (m2)]]/T_Info[[#This Row],[Superficie m2]],)</f>
        <v>0</v>
      </c>
      <c r="U57" s="49">
        <f>IFERROR(SUMIFS(T_Fe[Fund kg],T_Fe[Codigo],T_Info[[#This Row],[Codigo]])/SUMIFS(T_HA[Fund m3],T_HA[Codigo],T_Info[[#This Row],[Codigo]]),)</f>
        <v>24.276857835218099</v>
      </c>
      <c r="V57" s="22">
        <f>IFERROR(SUMIFS(T_Fe[Grua kg],T_Fe[Codigo],T_Info[[#This Row],[Codigo]])/SUMIFS(T_HA[Grua m3],T_HA[Codigo],T_Info[[#This Row],[Codigo]]),)</f>
        <v>0</v>
      </c>
      <c r="W57" s="22">
        <f>IFERROR(SUMIFS(T_Fe[Muros kg],T_Fe[Codigo],T_Info[[#This Row],[Codigo]])/SUMIFS(T_HA[Muros Int m3],T_HA[Codigo],T_Info[[#This Row],[Codigo]]),)</f>
        <v>84.809007537221987</v>
      </c>
      <c r="X57" s="22">
        <f>IFERROR(SUMIFS(T_Fe[Perimetrales kg],T_Fe[Codigo],T_Info[[#This Row],[Codigo]])/SUMIFS(T_HA[Perimetrales m3],T_HA[Codigo],T_Info[[#This Row],[Codigo]]),)</f>
        <v>106.66899051868376</v>
      </c>
      <c r="Y57" s="22">
        <f>IFERROR(SUMIFS(T_Fe[Vigas kg],T_Fe[Codigo],T_Info[[#This Row],[Codigo]])/SUMIFS(T_HA[Vigas m3],T_HA[Codigo],T_Info[[#This Row],[Codigo]]),)</f>
        <v>152.51497617426818</v>
      </c>
      <c r="Z57" s="50">
        <f>IFERROR(SUMIFS(T_Fe[Losas kg],T_Fe[Codigo],T_Info[[#This Row],[Codigo]])/SUMIFS(T_HA[Losas m3],T_HA[Codigo],T_Info[[#This Row],[Codigo]]),)</f>
        <v>92.053677045619125</v>
      </c>
      <c r="AA57" s="49">
        <f>SUMIFS(T_Fe[Fund kg/m2],T_Fe[Codigo],T_Info[[#This Row],[Codigo]])</f>
        <v>0.55000000000000004</v>
      </c>
      <c r="AB57" s="22">
        <f>SUMIFS(T_Fe[Muros kg/m2],T_Fe[Codigo],T_Info[[#This Row],[Codigo]])</f>
        <v>10.45</v>
      </c>
      <c r="AC57" s="22">
        <f>SUMIFS(T_Fe[Perimetrales kg/m2],T_Fe[Codigo],T_Info[[#This Row],[Codigo]])</f>
        <v>1.75</v>
      </c>
      <c r="AD57" s="22">
        <f>SUMIFS(T_Fe[Vigas kg/m2],T_Fe[Codigo],T_Info[[#This Row],[Codigo]])</f>
        <v>2.0499999999999998</v>
      </c>
      <c r="AE57" s="50">
        <f>SUMIFS(T_Fe[Losas kg/m2],T_Fe[Codigo],T_Info[[#This Row],[Codigo]])</f>
        <v>14.540000000000001</v>
      </c>
      <c r="AF57" s="49">
        <f>IFERROR(SUMIFS(T_HA[Fund m3/m2],T_HA[Codigo],T_Info[[#This Row],[Codigo]]),)</f>
        <v>2.2655320706377526E-2</v>
      </c>
      <c r="AG57" s="22">
        <f>IFERROR(SUMIFS(T_HA[Muros Int m3/m2],T_HA[Codigo],T_Info[[#This Row],[Codigo]]),)</f>
        <v>0.12321804373684693</v>
      </c>
      <c r="AH57" s="22">
        <f>IFERROR(SUMIFS(T_HA[Perimetrales m3/m2],T_HA[Codigo],T_Info[[#This Row],[Codigo]]),)</f>
        <v>1.6405892579375973E-2</v>
      </c>
      <c r="AI57" s="22">
        <f>IFERROR(SUMIFS(T_HA[Vigas m3/m2],T_HA[Codigo],T_Info[[#This Row],[Codigo]]),)</f>
        <v>1.3441302955439657E-2</v>
      </c>
      <c r="AJ57" s="50">
        <f>IFERROR(SUMIFS(T_HA[Losas m3/m2],T_HA[Codigo],T_Info[[#This Row],[Codigo]]),)</f>
        <v>0.15795132217037242</v>
      </c>
      <c r="AK57" s="22">
        <f>IFERROR(SUMIFS(T_HA[Fund m3],T_HA[Codigo],T_Info[[#This Row],[Codigo]])/SUMIFS(T_MLD[Fund Lat m2],T_MLD[Codigo],T_Info[[#This Row],[Codigo]]),)</f>
        <v>0</v>
      </c>
      <c r="AL57" s="22">
        <f>IFERROR(SUMIFS(T_HA[Muros m3],T_HA[Codigo],T_Info[[#This Row],[Codigo]])/SUMIFS(T_MLD[Muro m2],T_MLD[Codigo],T_Info[[#This Row],[Codigo]]),)</f>
        <v>0</v>
      </c>
      <c r="AM57" s="22">
        <f>IFERROR(SUMIFS(T_HA[Vigas m3],T_HA[Codigo],T_Info[[#This Row],[Codigo]])/(SUMIFS(T_MLD[Viga Lat m2],T_MLD[Codigo],T_Info[[#This Row],[Codigo]])+SUMIFS(T_MLD[Viga Fondo m2],T_MLD[Codigo],T_Info[[#This Row],[Codigo]])),)</f>
        <v>0</v>
      </c>
      <c r="AN57" s="22">
        <f>IFERROR(SUMIFS(T_HA[Losas m3],T_HA[Codigo],T_Info[[#This Row],[Codigo]])/(SUMIFS(T_MLD[Losa Fondo m2],T_MLD[Codigo],T_Info[[#This Row],[Codigo]])+SUMIFS(T_MLD[Rebalse m2],T_MLD[Codigo],T_Info[[#This Row],[Codigo]])),)</f>
        <v>0</v>
      </c>
      <c r="AO57" s="49">
        <f>IFERROR(SUMIFS(T_MLD[Fund Lat m2],T_MLD[Codigo],T_Info[[#This Row],[Codigo]])/T_Info[[#This Row],[Superficie m2]],)</f>
        <v>0</v>
      </c>
      <c r="AP57" s="22">
        <f>IFERROR(SUMIFS(T_MLD[Muro m2],T_MLD[Codigo],T_Info[[#This Row],[Codigo]])/T_Info[[#This Row],[Superficie m2]],)</f>
        <v>0</v>
      </c>
      <c r="AQ57" s="22">
        <f>IFERROR((SUMIFS(T_MLD[Viga Lat m2],T_MLD[Codigo],T_Info[[#This Row],[Codigo]])+SUMIFS(T_MLD[Viga Fondo m2],T_MLD[Codigo],T_Info[[#This Row],[Codigo]]))/T_Info[[#This Row],[Superficie m2]],)</f>
        <v>0</v>
      </c>
      <c r="AR57" s="50">
        <f>IFERROR((SUMIFS(T_MLD[Losa Fondo m2],T_MLD[Codigo],T_Info[[#This Row],[Codigo]])+SUMIFS(T_MLD[Rebalse m2],T_MLD[Codigo],T_Info[[#This Row],[Codigo]]))/T_Info[[#This Row],[Superficie m2]],)</f>
        <v>0</v>
      </c>
    </row>
    <row r="58" spans="1:44" x14ac:dyDescent="0.25">
      <c r="A58" s="52">
        <v>57</v>
      </c>
      <c r="B58" s="34">
        <v>19079</v>
      </c>
      <c r="C58" s="46" t="s">
        <v>51</v>
      </c>
      <c r="D58" s="6" t="s">
        <v>254</v>
      </c>
      <c r="E58" s="45" t="s">
        <v>80</v>
      </c>
      <c r="F58" s="34">
        <v>2</v>
      </c>
      <c r="G58" s="34">
        <v>10</v>
      </c>
      <c r="H58" s="34">
        <v>3</v>
      </c>
      <c r="I58" s="33">
        <v>12291.44</v>
      </c>
      <c r="J58" s="30"/>
      <c r="K58" s="53"/>
      <c r="L58" s="46"/>
      <c r="M58" s="47">
        <f>SUMIFS(T_Fe[Total kg],T_Fe[Codigo],T_Info[[#This Row],[Codigo]])</f>
        <v>419506.84720000002</v>
      </c>
      <c r="N58" s="33">
        <f>SUMIFS(T_HA[Total m3],T_HA[Codigo],T_Info[[#This Row],[Codigo]])</f>
        <v>4419.1099999999997</v>
      </c>
      <c r="O58" s="48">
        <f>SUMIFS(T_MLD[Total m2],T_MLD[Codigo],T_Info[[#This Row],[Codigo]])</f>
        <v>0</v>
      </c>
      <c r="P58" s="49">
        <f>IFERROR(T_Info[[#This Row],[Fe (kg)]]/T_Info[[#This Row],[HA (m3)]],)</f>
        <v>94.930166300454175</v>
      </c>
      <c r="Q58" s="22">
        <f>IFERROR(T_Info[[#This Row],[Fe (kg)]]/T_Info[[#This Row],[Superficie m2]],)</f>
        <v>34.130000000000003</v>
      </c>
      <c r="R58" s="22">
        <f>IFERROR(T_Info[[#This Row],[HA (m3)]]/T_Info[[#This Row],[Superficie m2]],)</f>
        <v>0.35952744348912735</v>
      </c>
      <c r="S58" s="22">
        <f>IFERROR(T_Info[[#This Row],[HA (m3)]]/T_Info[[#This Row],[MLD (m2)]],)</f>
        <v>0</v>
      </c>
      <c r="T58" s="50">
        <f>IFERROR(T_Info[[#This Row],[MLD (m2)]]/T_Info[[#This Row],[Superficie m2]],)</f>
        <v>0</v>
      </c>
      <c r="U58" s="49">
        <f>IFERROR(SUMIFS(T_Fe[Fund kg],T_Fe[Codigo],T_Info[[#This Row],[Codigo]])/SUMIFS(T_HA[Fund m3],T_HA[Codigo],T_Info[[#This Row],[Codigo]]),)</f>
        <v>40.799203363576012</v>
      </c>
      <c r="V58" s="22">
        <f>IFERROR(SUMIFS(T_Fe[Grua kg],T_Fe[Codigo],T_Info[[#This Row],[Codigo]])/SUMIFS(T_HA[Grua m3],T_HA[Codigo],T_Info[[#This Row],[Codigo]]),)</f>
        <v>0</v>
      </c>
      <c r="W58" s="22">
        <f>IFERROR(SUMIFS(T_Fe[Muros kg],T_Fe[Codigo],T_Info[[#This Row],[Codigo]])/SUMIFS(T_HA[Muros Int m3],T_HA[Codigo],T_Info[[#This Row],[Codigo]]),)</f>
        <v>174.69694526083765</v>
      </c>
      <c r="X58" s="22">
        <f>IFERROR(SUMIFS(T_Fe[Perimetrales kg],T_Fe[Codigo],T_Info[[#This Row],[Codigo]])/SUMIFS(T_HA[Perimetrales m3],T_HA[Codigo],T_Info[[#This Row],[Codigo]]),)</f>
        <v>104.15762728080367</v>
      </c>
      <c r="Y58" s="22">
        <f>IFERROR(SUMIFS(T_Fe[Vigas kg],T_Fe[Codigo],T_Info[[#This Row],[Codigo]])/SUMIFS(T_HA[Vigas m3],T_HA[Codigo],T_Info[[#This Row],[Codigo]]),)</f>
        <v>212.83291937796406</v>
      </c>
      <c r="Z58" s="50">
        <f>IFERROR(SUMIFS(T_Fe[Losas kg],T_Fe[Codigo],T_Info[[#This Row],[Codigo]])/SUMIFS(T_HA[Losas m3],T_HA[Codigo],T_Info[[#This Row],[Codigo]]),)</f>
        <v>64.644896262886618</v>
      </c>
      <c r="AA58" s="49">
        <f>SUMIFS(T_Fe[Fund kg/m2],T_Fe[Codigo],T_Info[[#This Row],[Codigo]])</f>
        <v>1.5</v>
      </c>
      <c r="AB58" s="22">
        <f>SUMIFS(T_Fe[Muros kg/m2],T_Fe[Codigo],T_Info[[#This Row],[Codigo]])</f>
        <v>12.38</v>
      </c>
      <c r="AC58" s="22">
        <f>SUMIFS(T_Fe[Perimetrales kg/m2],T_Fe[Codigo],T_Info[[#This Row],[Codigo]])</f>
        <v>2.48</v>
      </c>
      <c r="AD58" s="22">
        <f>SUMIFS(T_Fe[Vigas kg/m2],T_Fe[Codigo],T_Info[[#This Row],[Codigo]])</f>
        <v>4.71</v>
      </c>
      <c r="AE58" s="50">
        <f>SUMIFS(T_Fe[Losas kg/m2],T_Fe[Codigo],T_Info[[#This Row],[Codigo]])</f>
        <v>13.060000000000002</v>
      </c>
      <c r="AF58" s="49">
        <f>IFERROR(SUMIFS(T_HA[Fund m3/m2],T_HA[Codigo],T_Info[[#This Row],[Codigo]]),)</f>
        <v>3.6765423742051377E-2</v>
      </c>
      <c r="AG58" s="22">
        <f>IFERROR(SUMIFS(T_HA[Muros Int m3/m2],T_HA[Codigo],T_Info[[#This Row],[Codigo]]),)</f>
        <v>7.0865577995743376E-2</v>
      </c>
      <c r="AH58" s="22">
        <f>IFERROR(SUMIFS(T_HA[Perimetrales m3/m2],T_HA[Codigo],T_Info[[#This Row],[Codigo]]),)</f>
        <v>2.3810066192407074E-2</v>
      </c>
      <c r="AI58" s="22">
        <f>IFERROR(SUMIFS(T_HA[Vigas m3/m2],T_HA[Codigo],T_Info[[#This Row],[Codigo]]),)</f>
        <v>2.2130035211496781E-2</v>
      </c>
      <c r="AJ58" s="50">
        <f>IFERROR(SUMIFS(T_HA[Losas m3/m2],T_HA[Codigo],T_Info[[#This Row],[Codigo]]),)</f>
        <v>0.20202677635818095</v>
      </c>
      <c r="AK58" s="22">
        <f>IFERROR(SUMIFS(T_HA[Fund m3],T_HA[Codigo],T_Info[[#This Row],[Codigo]])/SUMIFS(T_MLD[Fund Lat m2],T_MLD[Codigo],T_Info[[#This Row],[Codigo]]),)</f>
        <v>0</v>
      </c>
      <c r="AL58" s="22">
        <f>IFERROR(SUMIFS(T_HA[Muros m3],T_HA[Codigo],T_Info[[#This Row],[Codigo]])/SUMIFS(T_MLD[Muro m2],T_MLD[Codigo],T_Info[[#This Row],[Codigo]]),)</f>
        <v>0</v>
      </c>
      <c r="AM58" s="22">
        <f>IFERROR(SUMIFS(T_HA[Vigas m3],T_HA[Codigo],T_Info[[#This Row],[Codigo]])/(SUMIFS(T_MLD[Viga Lat m2],T_MLD[Codigo],T_Info[[#This Row],[Codigo]])+SUMIFS(T_MLD[Viga Fondo m2],T_MLD[Codigo],T_Info[[#This Row],[Codigo]])),)</f>
        <v>0</v>
      </c>
      <c r="AN58" s="22">
        <f>IFERROR(SUMIFS(T_HA[Losas m3],T_HA[Codigo],T_Info[[#This Row],[Codigo]])/(SUMIFS(T_MLD[Losa Fondo m2],T_MLD[Codigo],T_Info[[#This Row],[Codigo]])+SUMIFS(T_MLD[Rebalse m2],T_MLD[Codigo],T_Info[[#This Row],[Codigo]])),)</f>
        <v>0</v>
      </c>
      <c r="AO58" s="49">
        <f>IFERROR(SUMIFS(T_MLD[Fund Lat m2],T_MLD[Codigo],T_Info[[#This Row],[Codigo]])/T_Info[[#This Row],[Superficie m2]],)</f>
        <v>0</v>
      </c>
      <c r="AP58" s="22">
        <f>IFERROR(SUMIFS(T_MLD[Muro m2],T_MLD[Codigo],T_Info[[#This Row],[Codigo]])/T_Info[[#This Row],[Superficie m2]],)</f>
        <v>0</v>
      </c>
      <c r="AQ58" s="22">
        <f>IFERROR((SUMIFS(T_MLD[Viga Lat m2],T_MLD[Codigo],T_Info[[#This Row],[Codigo]])+SUMIFS(T_MLD[Viga Fondo m2],T_MLD[Codigo],T_Info[[#This Row],[Codigo]]))/T_Info[[#This Row],[Superficie m2]],)</f>
        <v>0</v>
      </c>
      <c r="AR58" s="50">
        <f>IFERROR((SUMIFS(T_MLD[Losa Fondo m2],T_MLD[Codigo],T_Info[[#This Row],[Codigo]])+SUMIFS(T_MLD[Rebalse m2],T_MLD[Codigo],T_Info[[#This Row],[Codigo]]))/T_Info[[#This Row],[Superficie m2]],)</f>
        <v>0</v>
      </c>
    </row>
    <row r="59" spans="1:44" x14ac:dyDescent="0.25">
      <c r="A59" s="52">
        <v>58</v>
      </c>
      <c r="B59" s="34">
        <v>19080</v>
      </c>
      <c r="C59" s="46" t="s">
        <v>52</v>
      </c>
      <c r="D59" s="6" t="s">
        <v>267</v>
      </c>
      <c r="E59" s="45" t="s">
        <v>80</v>
      </c>
      <c r="F59" s="34">
        <v>2</v>
      </c>
      <c r="G59" s="34">
        <v>10</v>
      </c>
      <c r="H59" s="34">
        <v>1</v>
      </c>
      <c r="I59" s="33">
        <v>9977.68</v>
      </c>
      <c r="J59" s="30"/>
      <c r="K59" s="53"/>
      <c r="L59" s="46"/>
      <c r="M59" s="47">
        <f>SUMIFS(T_Fe[Total kg],T_Fe[Codigo],T_Info[[#This Row],[Codigo]])</f>
        <v>250339.99120000002</v>
      </c>
      <c r="N59" s="33">
        <f>SUMIFS(T_HA[Total m3],T_HA[Codigo],T_Info[[#This Row],[Codigo]])</f>
        <v>2958.7</v>
      </c>
      <c r="O59" s="48">
        <f>SUMIFS(T_MLD[Total m2],T_MLD[Codigo],T_Info[[#This Row],[Codigo]])</f>
        <v>0</v>
      </c>
      <c r="P59" s="49">
        <f>IFERROR(T_Info[[#This Row],[Fe (kg)]]/T_Info[[#This Row],[HA (m3)]],)</f>
        <v>84.611481799438948</v>
      </c>
      <c r="Q59" s="22">
        <f>IFERROR(T_Info[[#This Row],[Fe (kg)]]/T_Info[[#This Row],[Superficie m2]],)</f>
        <v>25.09</v>
      </c>
      <c r="R59" s="22">
        <f>IFERROR(T_Info[[#This Row],[HA (m3)]]/T_Info[[#This Row],[Superficie m2]],)</f>
        <v>0.29653185910953245</v>
      </c>
      <c r="S59" s="22">
        <f>IFERROR(T_Info[[#This Row],[HA (m3)]]/T_Info[[#This Row],[MLD (m2)]],)</f>
        <v>0</v>
      </c>
      <c r="T59" s="50">
        <f>IFERROR(T_Info[[#This Row],[MLD (m2)]]/T_Info[[#This Row],[Superficie m2]],)</f>
        <v>0</v>
      </c>
      <c r="U59" s="49">
        <f>IFERROR(SUMIFS(T_Fe[Fund kg],T_Fe[Codigo],T_Info[[#This Row],[Codigo]])/SUMIFS(T_HA[Fund m3],T_HA[Codigo],T_Info[[#This Row],[Codigo]]),)</f>
        <v>22.723494824016566</v>
      </c>
      <c r="V59" s="22">
        <f>IFERROR(SUMIFS(T_Fe[Grua kg],T_Fe[Codigo],T_Info[[#This Row],[Codigo]])/SUMIFS(T_HA[Grua m3],T_HA[Codigo],T_Info[[#This Row],[Codigo]]),)</f>
        <v>0</v>
      </c>
      <c r="W59" s="22">
        <f>IFERROR(SUMIFS(T_Fe[Muros kg],T_Fe[Codigo],T_Info[[#This Row],[Codigo]])/SUMIFS(T_HA[Muros Int m3],T_HA[Codigo],T_Info[[#This Row],[Codigo]]),)</f>
        <v>87.2377412074066</v>
      </c>
      <c r="X59" s="22">
        <f>IFERROR(SUMIFS(T_Fe[Perimetrales kg],T_Fe[Codigo],T_Info[[#This Row],[Codigo]])/SUMIFS(T_HA[Perimetrales m3],T_HA[Codigo],T_Info[[#This Row],[Codigo]]),)</f>
        <v>123.8512580195258</v>
      </c>
      <c r="Y59" s="22">
        <f>IFERROR(SUMIFS(T_Fe[Vigas kg],T_Fe[Codigo],T_Info[[#This Row],[Codigo]])/SUMIFS(T_HA[Vigas m3],T_HA[Codigo],T_Info[[#This Row],[Codigo]]),)</f>
        <v>161.64498026315792</v>
      </c>
      <c r="Z59" s="50">
        <f>IFERROR(SUMIFS(T_Fe[Losas kg],T_Fe[Codigo],T_Info[[#This Row],[Codigo]])/SUMIFS(T_HA[Losas m3],T_HA[Codigo],T_Info[[#This Row],[Codigo]]),)</f>
        <v>81.18883083511777</v>
      </c>
      <c r="AA59" s="49">
        <f>SUMIFS(T_Fe[Fund kg/m2],T_Fe[Codigo],T_Info[[#This Row],[Codigo]])</f>
        <v>0.44000000000000006</v>
      </c>
      <c r="AB59" s="22">
        <f>SUMIFS(T_Fe[Muros kg/m2],T_Fe[Codigo],T_Info[[#This Row],[Codigo]])</f>
        <v>7.98</v>
      </c>
      <c r="AC59" s="22">
        <f>SUMIFS(T_Fe[Perimetrales kg/m2],T_Fe[Codigo],T_Info[[#This Row],[Codigo]])</f>
        <v>1.78</v>
      </c>
      <c r="AD59" s="22">
        <f>SUMIFS(T_Fe[Vigas kg/m2],T_Fe[Codigo],T_Info[[#This Row],[Codigo]])</f>
        <v>1.9700000000000002</v>
      </c>
      <c r="AE59" s="50">
        <f>SUMIFS(T_Fe[Losas kg/m2],T_Fe[Codigo],T_Info[[#This Row],[Codigo]])</f>
        <v>12.92</v>
      </c>
      <c r="AF59" s="49">
        <f>IFERROR(SUMIFS(T_HA[Fund m3/m2],T_HA[Codigo],T_Info[[#This Row],[Codigo]]),)</f>
        <v>1.9363218704147655E-2</v>
      </c>
      <c r="AG59" s="22">
        <f>IFERROR(SUMIFS(T_HA[Muros Int m3/m2],T_HA[Codigo],T_Info[[#This Row],[Codigo]]),)</f>
        <v>9.1474170348217226E-2</v>
      </c>
      <c r="AH59" s="22">
        <f>IFERROR(SUMIFS(T_HA[Perimetrales m3/m2],T_HA[Codigo],T_Info[[#This Row],[Codigo]]),)</f>
        <v>1.4372078479165497E-2</v>
      </c>
      <c r="AI59" s="22">
        <f>IFERROR(SUMIFS(T_HA[Vigas m3/m2],T_HA[Codigo],T_Info[[#This Row],[Codigo]]),)</f>
        <v>1.2187201834494591E-2</v>
      </c>
      <c r="AJ59" s="50">
        <f>IFERROR(SUMIFS(T_HA[Losas m3/m2],T_HA[Codigo],T_Info[[#This Row],[Codigo]]),)</f>
        <v>0.15913518974350749</v>
      </c>
      <c r="AK59" s="22">
        <f>IFERROR(SUMIFS(T_HA[Fund m3],T_HA[Codigo],T_Info[[#This Row],[Codigo]])/SUMIFS(T_MLD[Fund Lat m2],T_MLD[Codigo],T_Info[[#This Row],[Codigo]]),)</f>
        <v>0</v>
      </c>
      <c r="AL59" s="22">
        <f>IFERROR(SUMIFS(T_HA[Muros m3],T_HA[Codigo],T_Info[[#This Row],[Codigo]])/SUMIFS(T_MLD[Muro m2],T_MLD[Codigo],T_Info[[#This Row],[Codigo]]),)</f>
        <v>0</v>
      </c>
      <c r="AM59" s="22">
        <f>IFERROR(SUMIFS(T_HA[Vigas m3],T_HA[Codigo],T_Info[[#This Row],[Codigo]])/(SUMIFS(T_MLD[Viga Lat m2],T_MLD[Codigo],T_Info[[#This Row],[Codigo]])+SUMIFS(T_MLD[Viga Fondo m2],T_MLD[Codigo],T_Info[[#This Row],[Codigo]])),)</f>
        <v>0</v>
      </c>
      <c r="AN59" s="22">
        <f>IFERROR(SUMIFS(T_HA[Losas m3],T_HA[Codigo],T_Info[[#This Row],[Codigo]])/(SUMIFS(T_MLD[Losa Fondo m2],T_MLD[Codigo],T_Info[[#This Row],[Codigo]])+SUMIFS(T_MLD[Rebalse m2],T_MLD[Codigo],T_Info[[#This Row],[Codigo]])),)</f>
        <v>0</v>
      </c>
      <c r="AO59" s="49">
        <f>IFERROR(SUMIFS(T_MLD[Fund Lat m2],T_MLD[Codigo],T_Info[[#This Row],[Codigo]])/T_Info[[#This Row],[Superficie m2]],)</f>
        <v>0</v>
      </c>
      <c r="AP59" s="22">
        <f>IFERROR(SUMIFS(T_MLD[Muro m2],T_MLD[Codigo],T_Info[[#This Row],[Codigo]])/T_Info[[#This Row],[Superficie m2]],)</f>
        <v>0</v>
      </c>
      <c r="AQ59" s="22">
        <f>IFERROR((SUMIFS(T_MLD[Viga Lat m2],T_MLD[Codigo],T_Info[[#This Row],[Codigo]])+SUMIFS(T_MLD[Viga Fondo m2],T_MLD[Codigo],T_Info[[#This Row],[Codigo]]))/T_Info[[#This Row],[Superficie m2]],)</f>
        <v>0</v>
      </c>
      <c r="AR59" s="50">
        <f>IFERROR((SUMIFS(T_MLD[Losa Fondo m2],T_MLD[Codigo],T_Info[[#This Row],[Codigo]])+SUMIFS(T_MLD[Rebalse m2],T_MLD[Codigo],T_Info[[#This Row],[Codigo]]))/T_Info[[#This Row],[Superficie m2]],)</f>
        <v>0</v>
      </c>
    </row>
    <row r="60" spans="1:44" x14ac:dyDescent="0.25">
      <c r="A60" s="52">
        <v>59</v>
      </c>
      <c r="B60" s="34">
        <v>20011</v>
      </c>
      <c r="C60" s="46" t="s">
        <v>53</v>
      </c>
      <c r="D60" s="6" t="s">
        <v>254</v>
      </c>
      <c r="E60" s="45" t="s">
        <v>91</v>
      </c>
      <c r="F60" s="34">
        <v>2</v>
      </c>
      <c r="G60" s="34">
        <v>11</v>
      </c>
      <c r="H60" s="34">
        <v>1</v>
      </c>
      <c r="I60" s="33">
        <v>15217.59</v>
      </c>
      <c r="J60" s="30"/>
      <c r="K60" s="53" t="s">
        <v>180</v>
      </c>
      <c r="L60" s="46"/>
      <c r="M60" s="47">
        <f>SUMIFS(T_Fe[Total kg],T_Fe[Codigo],T_Info[[#This Row],[Codigo]])</f>
        <v>546311.48099999991</v>
      </c>
      <c r="N60" s="33">
        <f>SUMIFS(T_HA[Total m3],T_HA[Codigo],T_Info[[#This Row],[Codigo]])</f>
        <v>5546.3</v>
      </c>
      <c r="O60" s="48">
        <f>SUMIFS(T_MLD[Total m2],T_MLD[Codigo],T_Info[[#This Row],[Codigo]])</f>
        <v>0</v>
      </c>
      <c r="P60" s="49">
        <f>IFERROR(T_Info[[#This Row],[Fe (kg)]]/T_Info[[#This Row],[HA (m3)]],)</f>
        <v>98.500167859654169</v>
      </c>
      <c r="Q60" s="22">
        <f>IFERROR(T_Info[[#This Row],[Fe (kg)]]/T_Info[[#This Row],[Superficie m2]],)</f>
        <v>35.899999999999991</v>
      </c>
      <c r="R60" s="22">
        <f>IFERROR(T_Info[[#This Row],[HA (m3)]]/T_Info[[#This Row],[Superficie m2]],)</f>
        <v>0.36446638396750075</v>
      </c>
      <c r="S60" s="22">
        <f>IFERROR(T_Info[[#This Row],[HA (m3)]]/T_Info[[#This Row],[MLD (m2)]],)</f>
        <v>0</v>
      </c>
      <c r="T60" s="50">
        <f>IFERROR(T_Info[[#This Row],[MLD (m2)]]/T_Info[[#This Row],[Superficie m2]],)</f>
        <v>0</v>
      </c>
      <c r="U60" s="49">
        <f>IFERROR(SUMIFS(T_Fe[Fund kg],T_Fe[Codigo],T_Info[[#This Row],[Codigo]])/SUMIFS(T_HA[Fund m3],T_HA[Codigo],T_Info[[#This Row],[Codigo]]),)</f>
        <v>69.430152511513327</v>
      </c>
      <c r="V60" s="22">
        <f>IFERROR(SUMIFS(T_Fe[Grua kg],T_Fe[Codigo],T_Info[[#This Row],[Codigo]])/SUMIFS(T_HA[Grua m3],T_HA[Codigo],T_Info[[#This Row],[Codigo]]),)</f>
        <v>0</v>
      </c>
      <c r="W60" s="22">
        <f>IFERROR(SUMIFS(T_Fe[Muros kg],T_Fe[Codigo],T_Info[[#This Row],[Codigo]])/SUMIFS(T_HA[Muros Int m3],T_HA[Codigo],T_Info[[#This Row],[Codigo]]),)</f>
        <v>111.46795635397557</v>
      </c>
      <c r="X60" s="22">
        <f>IFERROR(SUMIFS(T_Fe[Perimetrales kg],T_Fe[Codigo],T_Info[[#This Row],[Codigo]])/SUMIFS(T_HA[Perimetrales m3],T_HA[Codigo],T_Info[[#This Row],[Codigo]]),)</f>
        <v>128.48967249466952</v>
      </c>
      <c r="Y60" s="22">
        <f>IFERROR(SUMIFS(T_Fe[Vigas kg],T_Fe[Codigo],T_Info[[#This Row],[Codigo]])/SUMIFS(T_HA[Vigas m3],T_HA[Codigo],T_Info[[#This Row],[Codigo]]),)</f>
        <v>226.75715792079208</v>
      </c>
      <c r="Z60" s="50">
        <f>IFERROR(SUMIFS(T_Fe[Losas kg],T_Fe[Codigo],T_Info[[#This Row],[Codigo]])/SUMIFS(T_HA[Losas m3],T_HA[Codigo],T_Info[[#This Row],[Codigo]]),)</f>
        <v>89.585171803586078</v>
      </c>
      <c r="AA60" s="49">
        <f>SUMIFS(T_Fe[Fund kg/m2],T_Fe[Codigo],T_Info[[#This Row],[Codigo]])</f>
        <v>4.26</v>
      </c>
      <c r="AB60" s="22">
        <f>SUMIFS(T_Fe[Muros kg/m2],T_Fe[Codigo],T_Info[[#This Row],[Codigo]])</f>
        <v>11.58</v>
      </c>
      <c r="AC60" s="22">
        <f>SUMIFS(T_Fe[Perimetrales kg/m2],T_Fe[Codigo],T_Info[[#This Row],[Codigo]])</f>
        <v>1.98</v>
      </c>
      <c r="AD60" s="22">
        <f>SUMIFS(T_Fe[Vigas kg/m2],T_Fe[Codigo],T_Info[[#This Row],[Codigo]])</f>
        <v>3.01</v>
      </c>
      <c r="AE60" s="50">
        <f>SUMIFS(T_Fe[Losas kg/m2],T_Fe[Codigo],T_Info[[#This Row],[Codigo]])</f>
        <v>15.07</v>
      </c>
      <c r="AF60" s="49">
        <f>IFERROR(SUMIFS(T_HA[Fund m3/m2],T_HA[Codigo],T_Info[[#This Row],[Codigo]]),)</f>
        <v>6.1356627429179002E-2</v>
      </c>
      <c r="AG60" s="22">
        <f>IFERROR(SUMIFS(T_HA[Muros Int m3/m2],T_HA[Codigo],T_Info[[#This Row],[Codigo]]),)</f>
        <v>0.10388635782669924</v>
      </c>
      <c r="AH60" s="22">
        <f>IFERROR(SUMIFS(T_HA[Perimetrales m3/m2],T_HA[Codigo],T_Info[[#This Row],[Codigo]]),)</f>
        <v>1.5409798792055772E-2</v>
      </c>
      <c r="AI60" s="22">
        <f>IFERROR(SUMIFS(T_HA[Vigas m3/m2],T_HA[Codigo],T_Info[[#This Row],[Codigo]]),)</f>
        <v>1.3274112392303906E-2</v>
      </c>
      <c r="AJ60" s="50">
        <f>IFERROR(SUMIFS(T_HA[Losas m3/m2],T_HA[Codigo],T_Info[[#This Row],[Codigo]]),)</f>
        <v>0.16821980352999391</v>
      </c>
      <c r="AK60" s="22">
        <f>IFERROR(SUMIFS(T_HA[Fund m3],T_HA[Codigo],T_Info[[#This Row],[Codigo]])/SUMIFS(T_MLD[Fund Lat m2],T_MLD[Codigo],T_Info[[#This Row],[Codigo]]),)</f>
        <v>0</v>
      </c>
      <c r="AL60" s="22">
        <f>IFERROR(SUMIFS(T_HA[Muros m3],T_HA[Codigo],T_Info[[#This Row],[Codigo]])/SUMIFS(T_MLD[Muro m2],T_MLD[Codigo],T_Info[[#This Row],[Codigo]]),)</f>
        <v>0</v>
      </c>
      <c r="AM60" s="22">
        <f>IFERROR(SUMIFS(T_HA[Vigas m3],T_HA[Codigo],T_Info[[#This Row],[Codigo]])/(SUMIFS(T_MLD[Viga Lat m2],T_MLD[Codigo],T_Info[[#This Row],[Codigo]])+SUMIFS(T_MLD[Viga Fondo m2],T_MLD[Codigo],T_Info[[#This Row],[Codigo]])),)</f>
        <v>0</v>
      </c>
      <c r="AN60" s="22">
        <f>IFERROR(SUMIFS(T_HA[Losas m3],T_HA[Codigo],T_Info[[#This Row],[Codigo]])/(SUMIFS(T_MLD[Losa Fondo m2],T_MLD[Codigo],T_Info[[#This Row],[Codigo]])+SUMIFS(T_MLD[Rebalse m2],T_MLD[Codigo],T_Info[[#This Row],[Codigo]])),)</f>
        <v>0</v>
      </c>
      <c r="AO60" s="49">
        <f>IFERROR(SUMIFS(T_MLD[Fund Lat m2],T_MLD[Codigo],T_Info[[#This Row],[Codigo]])/T_Info[[#This Row],[Superficie m2]],)</f>
        <v>0</v>
      </c>
      <c r="AP60" s="22">
        <f>IFERROR(SUMIFS(T_MLD[Muro m2],T_MLD[Codigo],T_Info[[#This Row],[Codigo]])/T_Info[[#This Row],[Superficie m2]],)</f>
        <v>0</v>
      </c>
      <c r="AQ60" s="22">
        <f>IFERROR((SUMIFS(T_MLD[Viga Lat m2],T_MLD[Codigo],T_Info[[#This Row],[Codigo]])+SUMIFS(T_MLD[Viga Fondo m2],T_MLD[Codigo],T_Info[[#This Row],[Codigo]]))/T_Info[[#This Row],[Superficie m2]],)</f>
        <v>0</v>
      </c>
      <c r="AR60" s="50">
        <f>IFERROR((SUMIFS(T_MLD[Losa Fondo m2],T_MLD[Codigo],T_Info[[#This Row],[Codigo]])+SUMIFS(T_MLD[Rebalse m2],T_MLD[Codigo],T_Info[[#This Row],[Codigo]]))/T_Info[[#This Row],[Superficie m2]],)</f>
        <v>0</v>
      </c>
    </row>
    <row r="61" spans="1:44" x14ac:dyDescent="0.25">
      <c r="A61" s="52">
        <v>60</v>
      </c>
      <c r="B61" s="34">
        <v>19028</v>
      </c>
      <c r="C61" s="46" t="s">
        <v>54</v>
      </c>
      <c r="D61" s="6" t="s">
        <v>254</v>
      </c>
      <c r="E61" s="45" t="s">
        <v>91</v>
      </c>
      <c r="F61" s="34">
        <v>2</v>
      </c>
      <c r="G61" s="34">
        <v>19</v>
      </c>
      <c r="H61" s="34">
        <v>3</v>
      </c>
      <c r="I61" s="33">
        <v>19464.099999999999</v>
      </c>
      <c r="J61" s="30"/>
      <c r="K61" s="53"/>
      <c r="L61" s="46"/>
      <c r="M61" s="47">
        <f>SUMIFS(T_Fe[Total kg],T_Fe[Codigo],T_Info[[#This Row],[Codigo]])</f>
        <v>660806.19499999995</v>
      </c>
      <c r="N61" s="33">
        <f>SUMIFS(T_HA[Total m3],T_HA[Codigo],T_Info[[#This Row],[Codigo]])</f>
        <v>6584.2</v>
      </c>
      <c r="O61" s="48">
        <f>SUMIFS(T_MLD[Total m2],T_MLD[Codigo],T_Info[[#This Row],[Codigo]])</f>
        <v>0</v>
      </c>
      <c r="P61" s="49">
        <f>IFERROR(T_Info[[#This Row],[Fe (kg)]]/T_Info[[#This Row],[HA (m3)]],)</f>
        <v>100.36241229002763</v>
      </c>
      <c r="Q61" s="22">
        <f>IFERROR(T_Info[[#This Row],[Fe (kg)]]/T_Info[[#This Row],[Superficie m2]],)</f>
        <v>33.950000000000003</v>
      </c>
      <c r="R61" s="22">
        <f>IFERROR(T_Info[[#This Row],[HA (m3)]]/T_Info[[#This Row],[Superficie m2]],)</f>
        <v>0.33827405325702192</v>
      </c>
      <c r="S61" s="22">
        <f>IFERROR(T_Info[[#This Row],[HA (m3)]]/T_Info[[#This Row],[MLD (m2)]],)</f>
        <v>0</v>
      </c>
      <c r="T61" s="50">
        <f>IFERROR(T_Info[[#This Row],[MLD (m2)]]/T_Info[[#This Row],[Superficie m2]],)</f>
        <v>0</v>
      </c>
      <c r="U61" s="49">
        <f>IFERROR(SUMIFS(T_Fe[Fund kg],T_Fe[Codigo],T_Info[[#This Row],[Codigo]])/SUMIFS(T_HA[Fund m3],T_HA[Codigo],T_Info[[#This Row],[Codigo]]),)</f>
        <v>54.40855064139383</v>
      </c>
      <c r="V61" s="22">
        <f>IFERROR(SUMIFS(T_Fe[Grua kg],T_Fe[Codigo],T_Info[[#This Row],[Codigo]])/SUMIFS(T_HA[Grua m3],T_HA[Codigo],T_Info[[#This Row],[Codigo]]),)</f>
        <v>0</v>
      </c>
      <c r="W61" s="22">
        <f>IFERROR(SUMIFS(T_Fe[Muros kg],T_Fe[Codigo],T_Info[[#This Row],[Codigo]])/SUMIFS(T_HA[Muros Int m3],T_HA[Codigo],T_Info[[#This Row],[Codigo]]),)</f>
        <v>106.70856603139954</v>
      </c>
      <c r="X61" s="22">
        <f>IFERROR(SUMIFS(T_Fe[Perimetrales kg],T_Fe[Codigo],T_Info[[#This Row],[Codigo]])/SUMIFS(T_HA[Perimetrales m3],T_HA[Codigo],T_Info[[#This Row],[Codigo]]),)</f>
        <v>192.21808298755187</v>
      </c>
      <c r="Y61" s="22">
        <f>IFERROR(SUMIFS(T_Fe[Vigas kg],T_Fe[Codigo],T_Info[[#This Row],[Codigo]])/SUMIFS(T_HA[Vigas m3],T_HA[Codigo],T_Info[[#This Row],[Codigo]]),)</f>
        <v>184.16980696202532</v>
      </c>
      <c r="Z61" s="50">
        <f>IFERROR(SUMIFS(T_Fe[Losas kg],T_Fe[Codigo],T_Info[[#This Row],[Codigo]])/SUMIFS(T_HA[Losas m3],T_HA[Codigo],T_Info[[#This Row],[Codigo]]),)</f>
        <v>89.272629587343005</v>
      </c>
      <c r="AA61" s="49">
        <f>SUMIFS(T_Fe[Fund kg/m2],T_Fe[Codigo],T_Info[[#This Row],[Codigo]])</f>
        <v>1.46</v>
      </c>
      <c r="AB61" s="22">
        <f>SUMIFS(T_Fe[Muros kg/m2],T_Fe[Codigo],T_Info[[#This Row],[Codigo]])</f>
        <v>13.06</v>
      </c>
      <c r="AC61" s="22">
        <f>SUMIFS(T_Fe[Perimetrales kg/m2],T_Fe[Codigo],T_Info[[#This Row],[Codigo]])</f>
        <v>2.38</v>
      </c>
      <c r="AD61" s="22">
        <f>SUMIFS(T_Fe[Vigas kg/m2],T_Fe[Codigo],T_Info[[#This Row],[Codigo]])</f>
        <v>2.99</v>
      </c>
      <c r="AE61" s="50">
        <f>SUMIFS(T_Fe[Losas kg/m2],T_Fe[Codigo],T_Info[[#This Row],[Codigo]])</f>
        <v>14.06</v>
      </c>
      <c r="AF61" s="49">
        <f>IFERROR(SUMIFS(T_HA[Fund m3/m2],T_HA[Codigo],T_Info[[#This Row],[Codigo]]),)</f>
        <v>2.6834017498882558E-2</v>
      </c>
      <c r="AG61" s="22">
        <f>IFERROR(SUMIFS(T_HA[Muros Int m3/m2],T_HA[Codigo],T_Info[[#This Row],[Codigo]]),)</f>
        <v>0.12238942463304237</v>
      </c>
      <c r="AH61" s="22">
        <f>IFERROR(SUMIFS(T_HA[Perimetrales m3/m2],T_HA[Codigo],T_Info[[#This Row],[Codigo]]),)</f>
        <v>1.2381769514131145E-2</v>
      </c>
      <c r="AI61" s="22">
        <f>IFERROR(SUMIFS(T_HA[Vigas m3/m2],T_HA[Codigo],T_Info[[#This Row],[Codigo]]),)</f>
        <v>1.6235017288238347E-2</v>
      </c>
      <c r="AJ61" s="50">
        <f>IFERROR(SUMIFS(T_HA[Losas m3/m2],T_HA[Codigo],T_Info[[#This Row],[Codigo]]),)</f>
        <v>0.1574950806870084</v>
      </c>
      <c r="AK61" s="22">
        <f>IFERROR(SUMIFS(T_HA[Fund m3],T_HA[Codigo],T_Info[[#This Row],[Codigo]])/SUMIFS(T_MLD[Fund Lat m2],T_MLD[Codigo],T_Info[[#This Row],[Codigo]]),)</f>
        <v>0</v>
      </c>
      <c r="AL61" s="22">
        <f>IFERROR(SUMIFS(T_HA[Muros m3],T_HA[Codigo],T_Info[[#This Row],[Codigo]])/SUMIFS(T_MLD[Muro m2],T_MLD[Codigo],T_Info[[#This Row],[Codigo]]),)</f>
        <v>0</v>
      </c>
      <c r="AM61" s="22">
        <f>IFERROR(SUMIFS(T_HA[Vigas m3],T_HA[Codigo],T_Info[[#This Row],[Codigo]])/(SUMIFS(T_MLD[Viga Lat m2],T_MLD[Codigo],T_Info[[#This Row],[Codigo]])+SUMIFS(T_MLD[Viga Fondo m2],T_MLD[Codigo],T_Info[[#This Row],[Codigo]])),)</f>
        <v>0</v>
      </c>
      <c r="AN61" s="22">
        <f>IFERROR(SUMIFS(T_HA[Losas m3],T_HA[Codigo],T_Info[[#This Row],[Codigo]])/(SUMIFS(T_MLD[Losa Fondo m2],T_MLD[Codigo],T_Info[[#This Row],[Codigo]])+SUMIFS(T_MLD[Rebalse m2],T_MLD[Codigo],T_Info[[#This Row],[Codigo]])),)</f>
        <v>0</v>
      </c>
      <c r="AO61" s="49">
        <f>IFERROR(SUMIFS(T_MLD[Fund Lat m2],T_MLD[Codigo],T_Info[[#This Row],[Codigo]])/T_Info[[#This Row],[Superficie m2]],)</f>
        <v>0</v>
      </c>
      <c r="AP61" s="22">
        <f>IFERROR(SUMIFS(T_MLD[Muro m2],T_MLD[Codigo],T_Info[[#This Row],[Codigo]])/T_Info[[#This Row],[Superficie m2]],)</f>
        <v>0</v>
      </c>
      <c r="AQ61" s="22">
        <f>IFERROR((SUMIFS(T_MLD[Viga Lat m2],T_MLD[Codigo],T_Info[[#This Row],[Codigo]])+SUMIFS(T_MLD[Viga Fondo m2],T_MLD[Codigo],T_Info[[#This Row],[Codigo]]))/T_Info[[#This Row],[Superficie m2]],)</f>
        <v>0</v>
      </c>
      <c r="AR61" s="50">
        <f>IFERROR((SUMIFS(T_MLD[Losa Fondo m2],T_MLD[Codigo],T_Info[[#This Row],[Codigo]])+SUMIFS(T_MLD[Rebalse m2],T_MLD[Codigo],T_Info[[#This Row],[Codigo]]))/T_Info[[#This Row],[Superficie m2]],)</f>
        <v>0</v>
      </c>
    </row>
    <row r="62" spans="1:44" x14ac:dyDescent="0.25">
      <c r="A62" s="52">
        <v>61</v>
      </c>
      <c r="B62" s="34">
        <v>20018</v>
      </c>
      <c r="C62" s="46" t="s">
        <v>55</v>
      </c>
      <c r="D62" s="6" t="s">
        <v>255</v>
      </c>
      <c r="E62" s="45" t="s">
        <v>91</v>
      </c>
      <c r="F62" s="34">
        <v>3</v>
      </c>
      <c r="G62" s="34">
        <v>20</v>
      </c>
      <c r="H62" s="34">
        <v>2</v>
      </c>
      <c r="I62" s="33">
        <v>21702.18</v>
      </c>
      <c r="J62" s="30"/>
      <c r="K62" s="53"/>
      <c r="L62" s="46"/>
      <c r="M62" s="47">
        <f>SUMIFS(T_Fe[Total kg],T_Fe[Codigo],T_Info[[#This Row],[Codigo]])</f>
        <v>769559.30280000006</v>
      </c>
      <c r="N62" s="33">
        <f>SUMIFS(T_HA[Total m3],T_HA[Codigo],T_Info[[#This Row],[Codigo]])</f>
        <v>8134.7999999999993</v>
      </c>
      <c r="O62" s="48">
        <f>SUMIFS(T_MLD[Total m2],T_MLD[Codigo],T_Info[[#This Row],[Codigo]])</f>
        <v>0</v>
      </c>
      <c r="P62" s="49">
        <f>IFERROR(T_Info[[#This Row],[Fe (kg)]]/T_Info[[#This Row],[HA (m3)]],)</f>
        <v>94.600887889069199</v>
      </c>
      <c r="Q62" s="22">
        <f>IFERROR(T_Info[[#This Row],[Fe (kg)]]/T_Info[[#This Row],[Superficie m2]],)</f>
        <v>35.46</v>
      </c>
      <c r="R62" s="22">
        <f>IFERROR(T_Info[[#This Row],[HA (m3)]]/T_Info[[#This Row],[Superficie m2]],)</f>
        <v>0.374837919508547</v>
      </c>
      <c r="S62" s="22">
        <f>IFERROR(T_Info[[#This Row],[HA (m3)]]/T_Info[[#This Row],[MLD (m2)]],)</f>
        <v>0</v>
      </c>
      <c r="T62" s="50">
        <f>IFERROR(T_Info[[#This Row],[MLD (m2)]]/T_Info[[#This Row],[Superficie m2]],)</f>
        <v>0</v>
      </c>
      <c r="U62" s="49">
        <f>IFERROR(SUMIFS(T_Fe[Fund kg],T_Fe[Codigo],T_Info[[#This Row],[Codigo]])/SUMIFS(T_HA[Fund m3],T_HA[Codigo],T_Info[[#This Row],[Codigo]]),)</f>
        <v>54.40902385766276</v>
      </c>
      <c r="V62" s="22">
        <f>IFERROR(SUMIFS(T_Fe[Grua kg],T_Fe[Codigo],T_Info[[#This Row],[Codigo]])/SUMIFS(T_HA[Grua m3],T_HA[Codigo],T_Info[[#This Row],[Codigo]]),)</f>
        <v>0</v>
      </c>
      <c r="W62" s="22">
        <f>IFERROR(SUMIFS(T_Fe[Muros kg],T_Fe[Codigo],T_Info[[#This Row],[Codigo]])/SUMIFS(T_HA[Muros Int m3],T_HA[Codigo],T_Info[[#This Row],[Codigo]]),)</f>
        <v>106.92784973474801</v>
      </c>
      <c r="X62" s="22">
        <f>IFERROR(SUMIFS(T_Fe[Perimetrales kg],T_Fe[Codigo],T_Info[[#This Row],[Codigo]])/SUMIFS(T_HA[Perimetrales m3],T_HA[Codigo],T_Info[[#This Row],[Codigo]]),)</f>
        <v>98.575150684931515</v>
      </c>
      <c r="Y62" s="22">
        <f>IFERROR(SUMIFS(T_Fe[Vigas kg],T_Fe[Codigo],T_Info[[#This Row],[Codigo]])/SUMIFS(T_HA[Vigas m3],T_HA[Codigo],T_Info[[#This Row],[Codigo]]),)</f>
        <v>159.38831054637868</v>
      </c>
      <c r="Z62" s="50">
        <f>IFERROR(SUMIFS(T_Fe[Losas kg],T_Fe[Codigo],T_Info[[#This Row],[Codigo]])/SUMIFS(T_HA[Losas m3],T_HA[Codigo],T_Info[[#This Row],[Codigo]]),)</f>
        <v>90.217382761412466</v>
      </c>
      <c r="AA62" s="49">
        <f>SUMIFS(T_Fe[Fund kg/m2],T_Fe[Codigo],T_Info[[#This Row],[Codigo]])</f>
        <v>3.1</v>
      </c>
      <c r="AB62" s="22">
        <f>SUMIFS(T_Fe[Muros kg/m2],T_Fe[Codigo],T_Info[[#This Row],[Codigo]])</f>
        <v>14.86</v>
      </c>
      <c r="AC62" s="22">
        <f>SUMIFS(T_Fe[Perimetrales kg/m2],T_Fe[Codigo],T_Info[[#This Row],[Codigo]])</f>
        <v>1.26</v>
      </c>
      <c r="AD62" s="22">
        <f>SUMIFS(T_Fe[Vigas kg/m2],T_Fe[Codigo],T_Info[[#This Row],[Codigo]])</f>
        <v>2.89</v>
      </c>
      <c r="AE62" s="50">
        <f>SUMIFS(T_Fe[Losas kg/m2],T_Fe[Codigo],T_Info[[#This Row],[Codigo]])</f>
        <v>13.35</v>
      </c>
      <c r="AF62" s="49">
        <f>IFERROR(SUMIFS(T_HA[Fund m3/m2],T_HA[Codigo],T_Info[[#This Row],[Codigo]]),)</f>
        <v>5.6975842979829674E-2</v>
      </c>
      <c r="AG62" s="22">
        <f>IFERROR(SUMIFS(T_HA[Muros Int m3/m2],T_HA[Codigo],T_Info[[#This Row],[Codigo]]),)</f>
        <v>0.13897221385132738</v>
      </c>
      <c r="AH62" s="22">
        <f>IFERROR(SUMIFS(T_HA[Perimetrales m3/m2],T_HA[Codigo],T_Info[[#This Row],[Codigo]]),)</f>
        <v>1.2782126035264659E-2</v>
      </c>
      <c r="AI62" s="22">
        <f>IFERROR(SUMIFS(T_HA[Vigas m3/m2],T_HA[Codigo],T_Info[[#This Row],[Codigo]]),)</f>
        <v>1.8131819015416883E-2</v>
      </c>
      <c r="AJ62" s="50">
        <f>IFERROR(SUMIFS(T_HA[Losas m3/m2],T_HA[Codigo],T_Info[[#This Row],[Codigo]]),)</f>
        <v>0.14797591762670848</v>
      </c>
      <c r="AK62" s="22">
        <f>IFERROR(SUMIFS(T_HA[Fund m3],T_HA[Codigo],T_Info[[#This Row],[Codigo]])/SUMIFS(T_MLD[Fund Lat m2],T_MLD[Codigo],T_Info[[#This Row],[Codigo]]),)</f>
        <v>0</v>
      </c>
      <c r="AL62" s="22">
        <f>IFERROR(SUMIFS(T_HA[Muros m3],T_HA[Codigo],T_Info[[#This Row],[Codigo]])/SUMIFS(T_MLD[Muro m2],T_MLD[Codigo],T_Info[[#This Row],[Codigo]]),)</f>
        <v>0</v>
      </c>
      <c r="AM62" s="22">
        <f>IFERROR(SUMIFS(T_HA[Vigas m3],T_HA[Codigo],T_Info[[#This Row],[Codigo]])/(SUMIFS(T_MLD[Viga Lat m2],T_MLD[Codigo],T_Info[[#This Row],[Codigo]])+SUMIFS(T_MLD[Viga Fondo m2],T_MLD[Codigo],T_Info[[#This Row],[Codigo]])),)</f>
        <v>0</v>
      </c>
      <c r="AN62" s="22">
        <f>IFERROR(SUMIFS(T_HA[Losas m3],T_HA[Codigo],T_Info[[#This Row],[Codigo]])/(SUMIFS(T_MLD[Losa Fondo m2],T_MLD[Codigo],T_Info[[#This Row],[Codigo]])+SUMIFS(T_MLD[Rebalse m2],T_MLD[Codigo],T_Info[[#This Row],[Codigo]])),)</f>
        <v>0</v>
      </c>
      <c r="AO62" s="49">
        <f>IFERROR(SUMIFS(T_MLD[Fund Lat m2],T_MLD[Codigo],T_Info[[#This Row],[Codigo]])/T_Info[[#This Row],[Superficie m2]],)</f>
        <v>0</v>
      </c>
      <c r="AP62" s="22">
        <f>IFERROR(SUMIFS(T_MLD[Muro m2],T_MLD[Codigo],T_Info[[#This Row],[Codigo]])/T_Info[[#This Row],[Superficie m2]],)</f>
        <v>0</v>
      </c>
      <c r="AQ62" s="22">
        <f>IFERROR((SUMIFS(T_MLD[Viga Lat m2],T_MLD[Codigo],T_Info[[#This Row],[Codigo]])+SUMIFS(T_MLD[Viga Fondo m2],T_MLD[Codigo],T_Info[[#This Row],[Codigo]]))/T_Info[[#This Row],[Superficie m2]],)</f>
        <v>0</v>
      </c>
      <c r="AR62" s="50">
        <f>IFERROR((SUMIFS(T_MLD[Losa Fondo m2],T_MLD[Codigo],T_Info[[#This Row],[Codigo]])+SUMIFS(T_MLD[Rebalse m2],T_MLD[Codigo],T_Info[[#This Row],[Codigo]]))/T_Info[[#This Row],[Superficie m2]],)</f>
        <v>0</v>
      </c>
    </row>
    <row r="63" spans="1:44" x14ac:dyDescent="0.25">
      <c r="A63" s="52">
        <v>62</v>
      </c>
      <c r="B63" s="34">
        <v>20020</v>
      </c>
      <c r="C63" s="46" t="s">
        <v>56</v>
      </c>
      <c r="D63" s="6" t="s">
        <v>254</v>
      </c>
      <c r="E63" s="45" t="s">
        <v>80</v>
      </c>
      <c r="F63" s="34">
        <v>2</v>
      </c>
      <c r="G63" s="34">
        <v>11</v>
      </c>
      <c r="H63" s="34">
        <v>2</v>
      </c>
      <c r="I63" s="33">
        <v>15026.89</v>
      </c>
      <c r="J63" s="30"/>
      <c r="K63" s="53"/>
      <c r="L63" s="46"/>
      <c r="M63" s="47">
        <f>SUMIFS(T_Fe[Total kg],T_Fe[Codigo],T_Info[[#This Row],[Codigo]])</f>
        <v>468237.89239999995</v>
      </c>
      <c r="N63" s="33">
        <f>SUMIFS(T_HA[Total m3],T_HA[Codigo],T_Info[[#This Row],[Codigo]])</f>
        <v>5128.8</v>
      </c>
      <c r="O63" s="48">
        <f>SUMIFS(T_MLD[Total m2],T_MLD[Codigo],T_Info[[#This Row],[Codigo]])</f>
        <v>0</v>
      </c>
      <c r="P63" s="49">
        <f>IFERROR(T_Info[[#This Row],[Fe (kg)]]/T_Info[[#This Row],[HA (m3)]],)</f>
        <v>91.295798705350165</v>
      </c>
      <c r="Q63" s="22">
        <f>IFERROR(T_Info[[#This Row],[Fe (kg)]]/T_Info[[#This Row],[Superficie m2]],)</f>
        <v>31.159999999999997</v>
      </c>
      <c r="R63" s="22">
        <f>IFERROR(T_Info[[#This Row],[HA (m3)]]/T_Info[[#This Row],[Superficie m2]],)</f>
        <v>0.34130814825955341</v>
      </c>
      <c r="S63" s="22">
        <f>IFERROR(T_Info[[#This Row],[HA (m3)]]/T_Info[[#This Row],[MLD (m2)]],)</f>
        <v>0</v>
      </c>
      <c r="T63" s="50">
        <f>IFERROR(T_Info[[#This Row],[MLD (m2)]]/T_Info[[#This Row],[Superficie m2]],)</f>
        <v>0</v>
      </c>
      <c r="U63" s="49">
        <f>IFERROR(SUMIFS(T_Fe[Fund kg],T_Fe[Codigo],T_Info[[#This Row],[Codigo]])/SUMIFS(T_HA[Fund m3],T_HA[Codigo],T_Info[[#This Row],[Codigo]]),)</f>
        <v>41.843919737919734</v>
      </c>
      <c r="V63" s="22">
        <f>IFERROR(SUMIFS(T_Fe[Grua kg],T_Fe[Codigo],T_Info[[#This Row],[Codigo]])/SUMIFS(T_HA[Grua m3],T_HA[Codigo],T_Info[[#This Row],[Codigo]]),)</f>
        <v>0</v>
      </c>
      <c r="W63" s="22">
        <f>IFERROR(SUMIFS(T_Fe[Muros kg],T_Fe[Codigo],T_Info[[#This Row],[Codigo]])/SUMIFS(T_HA[Muros Int m3],T_HA[Codigo],T_Info[[#This Row],[Codigo]]),)</f>
        <v>86.96730380821738</v>
      </c>
      <c r="X63" s="22">
        <f>IFERROR(SUMIFS(T_Fe[Perimetrales kg],T_Fe[Codigo],T_Info[[#This Row],[Codigo]])/SUMIFS(T_HA[Perimetrales m3],T_HA[Codigo],T_Info[[#This Row],[Codigo]]),)</f>
        <v>119.29865352260778</v>
      </c>
      <c r="Y63" s="22">
        <f>IFERROR(SUMIFS(T_Fe[Vigas kg],T_Fe[Codigo],T_Info[[#This Row],[Codigo]])/SUMIFS(T_HA[Vigas m3],T_HA[Codigo],T_Info[[#This Row],[Codigo]]),)</f>
        <v>200.23059046402724</v>
      </c>
      <c r="Z63" s="50">
        <f>IFERROR(SUMIFS(T_Fe[Losas kg],T_Fe[Codigo],T_Info[[#This Row],[Codigo]])/SUMIFS(T_HA[Losas m3],T_HA[Codigo],T_Info[[#This Row],[Codigo]]),)</f>
        <v>89.095830963833947</v>
      </c>
      <c r="AA63" s="49">
        <f>SUMIFS(T_Fe[Fund kg/m2],T_Fe[Codigo],T_Info[[#This Row],[Codigo]])</f>
        <v>1.02</v>
      </c>
      <c r="AB63" s="22">
        <f>SUMIFS(T_Fe[Muros kg/m2],T_Fe[Codigo],T_Info[[#This Row],[Codigo]])</f>
        <v>8.86</v>
      </c>
      <c r="AC63" s="22">
        <f>SUMIFS(T_Fe[Perimetrales kg/m2],T_Fe[Codigo],T_Info[[#This Row],[Codigo]])</f>
        <v>1.51</v>
      </c>
      <c r="AD63" s="22">
        <f>SUMIFS(T_Fe[Vigas kg/m2],T_Fe[Codigo],T_Info[[#This Row],[Codigo]])</f>
        <v>3.13</v>
      </c>
      <c r="AE63" s="50">
        <f>SUMIFS(T_Fe[Losas kg/m2],T_Fe[Codigo],T_Info[[#This Row],[Codigo]])</f>
        <v>16.64</v>
      </c>
      <c r="AF63" s="49">
        <f>IFERROR(SUMIFS(T_HA[Fund m3/m2],T_HA[Codigo],T_Info[[#This Row],[Codigo]]),)</f>
        <v>2.4376301416993137E-2</v>
      </c>
      <c r="AG63" s="22">
        <f>IFERROR(SUMIFS(T_HA[Muros Int m3/m2],T_HA[Codigo],T_Info[[#This Row],[Codigo]]),)</f>
        <v>0.10187736783858803</v>
      </c>
      <c r="AH63" s="22">
        <f>IFERROR(SUMIFS(T_HA[Perimetrales m3/m2],T_HA[Codigo],T_Info[[#This Row],[Codigo]]),)</f>
        <v>1.2657309662877682E-2</v>
      </c>
      <c r="AI63" s="22">
        <f>IFERROR(SUMIFS(T_HA[Vigas m3/m2],T_HA[Codigo],T_Info[[#This Row],[Codigo]]),)</f>
        <v>1.5631977075762183E-2</v>
      </c>
      <c r="AJ63" s="50">
        <f>IFERROR(SUMIFS(T_HA[Losas m3/m2],T_HA[Codigo],T_Info[[#This Row],[Codigo]]),)</f>
        <v>0.18676519226533236</v>
      </c>
      <c r="AK63" s="22">
        <f>IFERROR(SUMIFS(T_HA[Fund m3],T_HA[Codigo],T_Info[[#This Row],[Codigo]])/SUMIFS(T_MLD[Fund Lat m2],T_MLD[Codigo],T_Info[[#This Row],[Codigo]]),)</f>
        <v>0</v>
      </c>
      <c r="AL63" s="22">
        <f>IFERROR(SUMIFS(T_HA[Muros m3],T_HA[Codigo],T_Info[[#This Row],[Codigo]])/SUMIFS(T_MLD[Muro m2],T_MLD[Codigo],T_Info[[#This Row],[Codigo]]),)</f>
        <v>0</v>
      </c>
      <c r="AM63" s="22">
        <f>IFERROR(SUMIFS(T_HA[Vigas m3],T_HA[Codigo],T_Info[[#This Row],[Codigo]])/(SUMIFS(T_MLD[Viga Lat m2],T_MLD[Codigo],T_Info[[#This Row],[Codigo]])+SUMIFS(T_MLD[Viga Fondo m2],T_MLD[Codigo],T_Info[[#This Row],[Codigo]])),)</f>
        <v>0</v>
      </c>
      <c r="AN63" s="22">
        <f>IFERROR(SUMIFS(T_HA[Losas m3],T_HA[Codigo],T_Info[[#This Row],[Codigo]])/(SUMIFS(T_MLD[Losa Fondo m2],T_MLD[Codigo],T_Info[[#This Row],[Codigo]])+SUMIFS(T_MLD[Rebalse m2],T_MLD[Codigo],T_Info[[#This Row],[Codigo]])),)</f>
        <v>0</v>
      </c>
      <c r="AO63" s="49">
        <f>IFERROR(SUMIFS(T_MLD[Fund Lat m2],T_MLD[Codigo],T_Info[[#This Row],[Codigo]])/T_Info[[#This Row],[Superficie m2]],)</f>
        <v>0</v>
      </c>
      <c r="AP63" s="22">
        <f>IFERROR(SUMIFS(T_MLD[Muro m2],T_MLD[Codigo],T_Info[[#This Row],[Codigo]])/T_Info[[#This Row],[Superficie m2]],)</f>
        <v>0</v>
      </c>
      <c r="AQ63" s="22">
        <f>IFERROR((SUMIFS(T_MLD[Viga Lat m2],T_MLD[Codigo],T_Info[[#This Row],[Codigo]])+SUMIFS(T_MLD[Viga Fondo m2],T_MLD[Codigo],T_Info[[#This Row],[Codigo]]))/T_Info[[#This Row],[Superficie m2]],)</f>
        <v>0</v>
      </c>
      <c r="AR63" s="50">
        <f>IFERROR((SUMIFS(T_MLD[Losa Fondo m2],T_MLD[Codigo],T_Info[[#This Row],[Codigo]])+SUMIFS(T_MLD[Rebalse m2],T_MLD[Codigo],T_Info[[#This Row],[Codigo]]))/T_Info[[#This Row],[Superficie m2]],)</f>
        <v>0</v>
      </c>
    </row>
    <row r="64" spans="1:44" x14ac:dyDescent="0.25">
      <c r="A64" s="52">
        <v>63</v>
      </c>
      <c r="B64" s="34">
        <v>20022</v>
      </c>
      <c r="C64" s="46" t="s">
        <v>57</v>
      </c>
      <c r="D64" s="6" t="s">
        <v>261</v>
      </c>
      <c r="E64" s="45" t="s">
        <v>80</v>
      </c>
      <c r="F64" s="34">
        <v>2</v>
      </c>
      <c r="G64" s="34">
        <v>10</v>
      </c>
      <c r="H64" s="34">
        <v>3</v>
      </c>
      <c r="I64" s="33">
        <v>13520.53</v>
      </c>
      <c r="J64" s="30"/>
      <c r="K64" s="53"/>
      <c r="L64" s="46"/>
      <c r="M64" s="47">
        <f>SUMIFS(T_Fe[Total kg],T_Fe[Codigo],T_Info[[#This Row],[Codigo]])</f>
        <v>392095.37</v>
      </c>
      <c r="N64" s="33">
        <f>SUMIFS(T_HA[Total m3],T_HA[Codigo],T_Info[[#This Row],[Codigo]])</f>
        <v>4264.3999999999996</v>
      </c>
      <c r="O64" s="48">
        <f>SUMIFS(T_MLD[Total m2],T_MLD[Codigo],T_Info[[#This Row],[Codigo]])</f>
        <v>0</v>
      </c>
      <c r="P64" s="49">
        <f>IFERROR(T_Info[[#This Row],[Fe (kg)]]/T_Info[[#This Row],[HA (m3)]],)</f>
        <v>91.94619876184224</v>
      </c>
      <c r="Q64" s="22">
        <f>IFERROR(T_Info[[#This Row],[Fe (kg)]]/T_Info[[#This Row],[Superficie m2]],)</f>
        <v>29</v>
      </c>
      <c r="R64" s="22">
        <f>IFERROR(T_Info[[#This Row],[HA (m3)]]/T_Info[[#This Row],[Superficie m2]],)</f>
        <v>0.3154018370581626</v>
      </c>
      <c r="S64" s="22">
        <f>IFERROR(T_Info[[#This Row],[HA (m3)]]/T_Info[[#This Row],[MLD (m2)]],)</f>
        <v>0</v>
      </c>
      <c r="T64" s="50">
        <f>IFERROR(T_Info[[#This Row],[MLD (m2)]]/T_Info[[#This Row],[Superficie m2]],)</f>
        <v>0</v>
      </c>
      <c r="U64" s="49">
        <f>IFERROR(SUMIFS(T_Fe[Fund kg],T_Fe[Codigo],T_Info[[#This Row],[Codigo]])/SUMIFS(T_HA[Fund m3],T_HA[Codigo],T_Info[[#This Row],[Codigo]]),)</f>
        <v>18.110962390520353</v>
      </c>
      <c r="V64" s="22">
        <f>IFERROR(SUMIFS(T_Fe[Grua kg],T_Fe[Codigo],T_Info[[#This Row],[Codigo]])/SUMIFS(T_HA[Grua m3],T_HA[Codigo],T_Info[[#This Row],[Codigo]]),)</f>
        <v>0</v>
      </c>
      <c r="W64" s="22">
        <f>IFERROR(SUMIFS(T_Fe[Muros kg],T_Fe[Codigo],T_Info[[#This Row],[Codigo]])/SUMIFS(T_HA[Muros Int m3],T_HA[Codigo],T_Info[[#This Row],[Codigo]]),)</f>
        <v>88.710398560076086</v>
      </c>
      <c r="X64" s="22">
        <f>IFERROR(SUMIFS(T_Fe[Perimetrales kg],T_Fe[Codigo],T_Info[[#This Row],[Codigo]])/SUMIFS(T_HA[Perimetrales m3],T_HA[Codigo],T_Info[[#This Row],[Codigo]]),)</f>
        <v>117.81196926489227</v>
      </c>
      <c r="Y64" s="22">
        <f>IFERROR(SUMIFS(T_Fe[Vigas kg],T_Fe[Codigo],T_Info[[#This Row],[Codigo]])/SUMIFS(T_HA[Vigas m3],T_HA[Codigo],T_Info[[#This Row],[Codigo]]),)</f>
        <v>247.87638333333337</v>
      </c>
      <c r="Z64" s="50">
        <f>IFERROR(SUMIFS(T_Fe[Losas kg],T_Fe[Codigo],T_Info[[#This Row],[Codigo]])/SUMIFS(T_HA[Losas m3],T_HA[Codigo],T_Info[[#This Row],[Codigo]]),)</f>
        <v>88.348635266370707</v>
      </c>
      <c r="AA64" s="49">
        <f>SUMIFS(T_Fe[Fund kg/m2],T_Fe[Codigo],T_Info[[#This Row],[Codigo]])</f>
        <v>0.26</v>
      </c>
      <c r="AB64" s="22">
        <f>SUMIFS(T_Fe[Muros kg/m2],T_Fe[Codigo],T_Info[[#This Row],[Codigo]])</f>
        <v>9.66</v>
      </c>
      <c r="AC64" s="22">
        <f>SUMIFS(T_Fe[Perimetrales kg/m2],T_Fe[Codigo],T_Info[[#This Row],[Codigo]])</f>
        <v>2.75</v>
      </c>
      <c r="AD64" s="22">
        <f>SUMIFS(T_Fe[Vigas kg/m2],T_Fe[Codigo],T_Info[[#This Row],[Codigo]])</f>
        <v>2.2000000000000002</v>
      </c>
      <c r="AE64" s="50">
        <f>SUMIFS(T_Fe[Losas kg/m2],T_Fe[Codigo],T_Info[[#This Row],[Codigo]])</f>
        <v>14.13</v>
      </c>
      <c r="AF64" s="49">
        <f>IFERROR(SUMIFS(T_HA[Fund m3/m2],T_HA[Codigo],T_Info[[#This Row],[Codigo]]),)</f>
        <v>1.4355946105663016E-2</v>
      </c>
      <c r="AG64" s="22">
        <f>IFERROR(SUMIFS(T_HA[Muros Int m3/m2],T_HA[Codigo],T_Info[[#This Row],[Codigo]]),)</f>
        <v>0.10889366023373344</v>
      </c>
      <c r="AH64" s="22">
        <f>IFERROR(SUMIFS(T_HA[Perimetrales m3/m2],T_HA[Codigo],T_Info[[#This Row],[Codigo]]),)</f>
        <v>2.3342280221263514E-2</v>
      </c>
      <c r="AI64" s="22">
        <f>IFERROR(SUMIFS(T_HA[Vigas m3/m2],T_HA[Codigo],T_Info[[#This Row],[Codigo]]),)</f>
        <v>8.8753917191116017E-3</v>
      </c>
      <c r="AJ64" s="50">
        <f>IFERROR(SUMIFS(T_HA[Losas m3/m2],T_HA[Codigo],T_Info[[#This Row],[Codigo]]),)</f>
        <v>0.15993455877839108</v>
      </c>
      <c r="AK64" s="22">
        <f>IFERROR(SUMIFS(T_HA[Fund m3],T_HA[Codigo],T_Info[[#This Row],[Codigo]])/SUMIFS(T_MLD[Fund Lat m2],T_MLD[Codigo],T_Info[[#This Row],[Codigo]]),)</f>
        <v>0</v>
      </c>
      <c r="AL64" s="22">
        <f>IFERROR(SUMIFS(T_HA[Muros m3],T_HA[Codigo],T_Info[[#This Row],[Codigo]])/SUMIFS(T_MLD[Muro m2],T_MLD[Codigo],T_Info[[#This Row],[Codigo]]),)</f>
        <v>0</v>
      </c>
      <c r="AM64" s="22">
        <f>IFERROR(SUMIFS(T_HA[Vigas m3],T_HA[Codigo],T_Info[[#This Row],[Codigo]])/(SUMIFS(T_MLD[Viga Lat m2],T_MLD[Codigo],T_Info[[#This Row],[Codigo]])+SUMIFS(T_MLD[Viga Fondo m2],T_MLD[Codigo],T_Info[[#This Row],[Codigo]])),)</f>
        <v>0</v>
      </c>
      <c r="AN64" s="22">
        <f>IFERROR(SUMIFS(T_HA[Losas m3],T_HA[Codigo],T_Info[[#This Row],[Codigo]])/(SUMIFS(T_MLD[Losa Fondo m2],T_MLD[Codigo],T_Info[[#This Row],[Codigo]])+SUMIFS(T_MLD[Rebalse m2],T_MLD[Codigo],T_Info[[#This Row],[Codigo]])),)</f>
        <v>0</v>
      </c>
      <c r="AO64" s="49">
        <f>IFERROR(SUMIFS(T_MLD[Fund Lat m2],T_MLD[Codigo],T_Info[[#This Row],[Codigo]])/T_Info[[#This Row],[Superficie m2]],)</f>
        <v>0</v>
      </c>
      <c r="AP64" s="22">
        <f>IFERROR(SUMIFS(T_MLD[Muro m2],T_MLD[Codigo],T_Info[[#This Row],[Codigo]])/T_Info[[#This Row],[Superficie m2]],)</f>
        <v>0</v>
      </c>
      <c r="AQ64" s="22">
        <f>IFERROR((SUMIFS(T_MLD[Viga Lat m2],T_MLD[Codigo],T_Info[[#This Row],[Codigo]])+SUMIFS(T_MLD[Viga Fondo m2],T_MLD[Codigo],T_Info[[#This Row],[Codigo]]))/T_Info[[#This Row],[Superficie m2]],)</f>
        <v>0</v>
      </c>
      <c r="AR64" s="50">
        <f>IFERROR((SUMIFS(T_MLD[Losa Fondo m2],T_MLD[Codigo],T_Info[[#This Row],[Codigo]])+SUMIFS(T_MLD[Rebalse m2],T_MLD[Codigo],T_Info[[#This Row],[Codigo]]))/T_Info[[#This Row],[Superficie m2]],)</f>
        <v>0</v>
      </c>
    </row>
    <row r="65" spans="1:44" x14ac:dyDescent="0.25">
      <c r="A65" s="52">
        <v>64</v>
      </c>
      <c r="B65" s="34">
        <v>20039</v>
      </c>
      <c r="C65" s="46" t="s">
        <v>58</v>
      </c>
      <c r="D65" s="6" t="s">
        <v>255</v>
      </c>
      <c r="E65" s="45" t="s">
        <v>91</v>
      </c>
      <c r="F65" s="34">
        <v>3</v>
      </c>
      <c r="G65" s="34">
        <v>17</v>
      </c>
      <c r="H65" s="34">
        <v>2</v>
      </c>
      <c r="I65" s="33">
        <v>12603.3</v>
      </c>
      <c r="J65" s="30"/>
      <c r="K65" s="53" t="s">
        <v>180</v>
      </c>
      <c r="L65" s="46"/>
      <c r="M65" s="47">
        <f>SUMIFS(T_Fe[Total kg],T_Fe[Codigo],T_Info[[#This Row],[Codigo]])</f>
        <v>607983.19199999992</v>
      </c>
      <c r="N65" s="33">
        <f>SUMIFS(T_HA[Total m3],T_HA[Codigo],T_Info[[#This Row],[Codigo]])</f>
        <v>4697.4000000000005</v>
      </c>
      <c r="O65" s="48">
        <f>SUMIFS(T_MLD[Total m2],T_MLD[Codigo],T_Info[[#This Row],[Codigo]])</f>
        <v>0</v>
      </c>
      <c r="P65" s="49">
        <f>IFERROR(T_Info[[#This Row],[Fe (kg)]]/T_Info[[#This Row],[HA (m3)]],)</f>
        <v>129.42972537999742</v>
      </c>
      <c r="Q65" s="22">
        <f>IFERROR(T_Info[[#This Row],[Fe (kg)]]/T_Info[[#This Row],[Superficie m2]],)</f>
        <v>48.239999999999995</v>
      </c>
      <c r="R65" s="22">
        <f>IFERROR(T_Info[[#This Row],[HA (m3)]]/T_Info[[#This Row],[Superficie m2]],)</f>
        <v>0.37271190878579424</v>
      </c>
      <c r="S65" s="22">
        <f>IFERROR(T_Info[[#This Row],[HA (m3)]]/T_Info[[#This Row],[MLD (m2)]],)</f>
        <v>0</v>
      </c>
      <c r="T65" s="50">
        <f>IFERROR(T_Info[[#This Row],[MLD (m2)]]/T_Info[[#This Row],[Superficie m2]],)</f>
        <v>0</v>
      </c>
      <c r="U65" s="49">
        <f>IFERROR(SUMIFS(T_Fe[Fund kg],T_Fe[Codigo],T_Info[[#This Row],[Codigo]])/SUMIFS(T_HA[Fund m3],T_HA[Codigo],T_Info[[#This Row],[Codigo]]),)</f>
        <v>141.63133053640996</v>
      </c>
      <c r="V65" s="22">
        <f>IFERROR(SUMIFS(T_Fe[Grua kg],T_Fe[Codigo],T_Info[[#This Row],[Codigo]])/SUMIFS(T_HA[Grua m3],T_HA[Codigo],T_Info[[#This Row],[Codigo]]),)</f>
        <v>0</v>
      </c>
      <c r="W65" s="22">
        <f>IFERROR(SUMIFS(T_Fe[Muros kg],T_Fe[Codigo],T_Info[[#This Row],[Codigo]])/SUMIFS(T_HA[Muros Int m3],T_HA[Codigo],T_Info[[#This Row],[Codigo]]),)</f>
        <v>175.90253149528394</v>
      </c>
      <c r="X65" s="22">
        <f>IFERROR(SUMIFS(T_Fe[Perimetrales kg],T_Fe[Codigo],T_Info[[#This Row],[Codigo]])/SUMIFS(T_HA[Perimetrales m3],T_HA[Codigo],T_Info[[#This Row],[Codigo]]),)</f>
        <v>128.30796389891697</v>
      </c>
      <c r="Y65" s="22">
        <f>IFERROR(SUMIFS(T_Fe[Vigas kg],T_Fe[Codigo],T_Info[[#This Row],[Codigo]])/SUMIFS(T_HA[Vigas m3],T_HA[Codigo],T_Info[[#This Row],[Codigo]]),)</f>
        <v>158.28320251177394</v>
      </c>
      <c r="Z65" s="50">
        <f>IFERROR(SUMIFS(T_Fe[Losas kg],T_Fe[Codigo],T_Info[[#This Row],[Codigo]])/SUMIFS(T_HA[Losas m3],T_HA[Codigo],T_Info[[#This Row],[Codigo]]),)</f>
        <v>94.206374902841333</v>
      </c>
      <c r="AA65" s="49">
        <f>SUMIFS(T_Fe[Fund kg/m2],T_Fe[Codigo],T_Info[[#This Row],[Codigo]])</f>
        <v>3.75</v>
      </c>
      <c r="AB65" s="22">
        <f>SUMIFS(T_Fe[Muros kg/m2],T_Fe[Codigo],T_Info[[#This Row],[Codigo]])</f>
        <v>21.16</v>
      </c>
      <c r="AC65" s="22">
        <f>SUMIFS(T_Fe[Perimetrales kg/m2],T_Fe[Codigo],T_Info[[#This Row],[Codigo]])</f>
        <v>2.82</v>
      </c>
      <c r="AD65" s="22">
        <f>SUMIFS(T_Fe[Vigas kg/m2],T_Fe[Codigo],T_Info[[#This Row],[Codigo]])</f>
        <v>3.2</v>
      </c>
      <c r="AE65" s="50">
        <f>SUMIFS(T_Fe[Losas kg/m2],T_Fe[Codigo],T_Info[[#This Row],[Codigo]])</f>
        <v>17.309999999999999</v>
      </c>
      <c r="AF65" s="49">
        <f>IFERROR(SUMIFS(T_HA[Fund m3/m2],T_HA[Codigo],T_Info[[#This Row],[Codigo]]),)</f>
        <v>2.6477192481334254E-2</v>
      </c>
      <c r="AG65" s="22">
        <f>IFERROR(SUMIFS(T_HA[Muros Int m3/m2],T_HA[Codigo],T_Info[[#This Row],[Codigo]]),)</f>
        <v>0.1202938912824419</v>
      </c>
      <c r="AH65" s="22">
        <f>IFERROR(SUMIFS(T_HA[Perimetrales m3/m2],T_HA[Codigo],T_Info[[#This Row],[Codigo]]),)</f>
        <v>2.1978370744170177E-2</v>
      </c>
      <c r="AI65" s="22">
        <f>IFERROR(SUMIFS(T_HA[Vigas m3/m2],T_HA[Codigo],T_Info[[#This Row],[Codigo]]),)</f>
        <v>2.0216927312687948E-2</v>
      </c>
      <c r="AJ65" s="50">
        <f>IFERROR(SUMIFS(T_HA[Losas m3/m2],T_HA[Codigo],T_Info[[#This Row],[Codigo]]),)</f>
        <v>0.18374552696515994</v>
      </c>
      <c r="AK65" s="22">
        <f>IFERROR(SUMIFS(T_HA[Fund m3],T_HA[Codigo],T_Info[[#This Row],[Codigo]])/SUMIFS(T_MLD[Fund Lat m2],T_MLD[Codigo],T_Info[[#This Row],[Codigo]]),)</f>
        <v>0</v>
      </c>
      <c r="AL65" s="22">
        <f>IFERROR(SUMIFS(T_HA[Muros m3],T_HA[Codigo],T_Info[[#This Row],[Codigo]])/SUMIFS(T_MLD[Muro m2],T_MLD[Codigo],T_Info[[#This Row],[Codigo]]),)</f>
        <v>0</v>
      </c>
      <c r="AM65" s="22">
        <f>IFERROR(SUMIFS(T_HA[Vigas m3],T_HA[Codigo],T_Info[[#This Row],[Codigo]])/(SUMIFS(T_MLD[Viga Lat m2],T_MLD[Codigo],T_Info[[#This Row],[Codigo]])+SUMIFS(T_MLD[Viga Fondo m2],T_MLD[Codigo],T_Info[[#This Row],[Codigo]])),)</f>
        <v>0</v>
      </c>
      <c r="AN65" s="22">
        <f>IFERROR(SUMIFS(T_HA[Losas m3],T_HA[Codigo],T_Info[[#This Row],[Codigo]])/(SUMIFS(T_MLD[Losa Fondo m2],T_MLD[Codigo],T_Info[[#This Row],[Codigo]])+SUMIFS(T_MLD[Rebalse m2],T_MLD[Codigo],T_Info[[#This Row],[Codigo]])),)</f>
        <v>0</v>
      </c>
      <c r="AO65" s="49">
        <f>IFERROR(SUMIFS(T_MLD[Fund Lat m2],T_MLD[Codigo],T_Info[[#This Row],[Codigo]])/T_Info[[#This Row],[Superficie m2]],)</f>
        <v>0</v>
      </c>
      <c r="AP65" s="22">
        <f>IFERROR(SUMIFS(T_MLD[Muro m2],T_MLD[Codigo],T_Info[[#This Row],[Codigo]])/T_Info[[#This Row],[Superficie m2]],)</f>
        <v>0</v>
      </c>
      <c r="AQ65" s="22">
        <f>IFERROR((SUMIFS(T_MLD[Viga Lat m2],T_MLD[Codigo],T_Info[[#This Row],[Codigo]])+SUMIFS(T_MLD[Viga Fondo m2],T_MLD[Codigo],T_Info[[#This Row],[Codigo]]))/T_Info[[#This Row],[Superficie m2]],)</f>
        <v>0</v>
      </c>
      <c r="AR65" s="50">
        <f>IFERROR((SUMIFS(T_MLD[Losa Fondo m2],T_MLD[Codigo],T_Info[[#This Row],[Codigo]])+SUMIFS(T_MLD[Rebalse m2],T_MLD[Codigo],T_Info[[#This Row],[Codigo]]))/T_Info[[#This Row],[Superficie m2]],)</f>
        <v>0</v>
      </c>
    </row>
    <row r="66" spans="1:44" x14ac:dyDescent="0.25">
      <c r="A66" s="52">
        <v>65</v>
      </c>
      <c r="B66" s="34">
        <v>20044</v>
      </c>
      <c r="C66" s="46" t="s">
        <v>59</v>
      </c>
      <c r="D66" s="6" t="s">
        <v>255</v>
      </c>
      <c r="E66" s="45" t="s">
        <v>80</v>
      </c>
      <c r="F66" s="34">
        <v>2</v>
      </c>
      <c r="G66" s="34">
        <v>19</v>
      </c>
      <c r="H66" s="34">
        <v>1</v>
      </c>
      <c r="I66" s="33">
        <v>19652.88</v>
      </c>
      <c r="J66" s="30"/>
      <c r="K66" s="53"/>
      <c r="L66" s="46"/>
      <c r="M66" s="47">
        <f>SUMIFS(T_Fe[Total kg],T_Fe[Codigo],T_Info[[#This Row],[Codigo]])</f>
        <v>629678.27520000003</v>
      </c>
      <c r="N66" s="33">
        <f>SUMIFS(T_HA[Total m3],T_HA[Codigo],T_Info[[#This Row],[Codigo]])</f>
        <v>7282.8</v>
      </c>
      <c r="O66" s="48">
        <f>SUMIFS(T_MLD[Total m2],T_MLD[Codigo],T_Info[[#This Row],[Codigo]])</f>
        <v>0</v>
      </c>
      <c r="P66" s="49">
        <f>IFERROR(T_Info[[#This Row],[Fe (kg)]]/T_Info[[#This Row],[HA (m3)]],)</f>
        <v>86.461014335145819</v>
      </c>
      <c r="Q66" s="22">
        <f>IFERROR(T_Info[[#This Row],[Fe (kg)]]/T_Info[[#This Row],[Superficie m2]],)</f>
        <v>32.04</v>
      </c>
      <c r="R66" s="22">
        <f>IFERROR(T_Info[[#This Row],[HA (m3)]]/T_Info[[#This Row],[Superficie m2]],)</f>
        <v>0.37057164140828214</v>
      </c>
      <c r="S66" s="22">
        <f>IFERROR(T_Info[[#This Row],[HA (m3)]]/T_Info[[#This Row],[MLD (m2)]],)</f>
        <v>0</v>
      </c>
      <c r="T66" s="50">
        <f>IFERROR(T_Info[[#This Row],[MLD (m2)]]/T_Info[[#This Row],[Superficie m2]],)</f>
        <v>0</v>
      </c>
      <c r="U66" s="49">
        <f>IFERROR(SUMIFS(T_Fe[Fund kg],T_Fe[Codigo],T_Info[[#This Row],[Codigo]])/SUMIFS(T_HA[Fund m3],T_HA[Codigo],T_Info[[#This Row],[Codigo]]),)</f>
        <v>28.561278892733565</v>
      </c>
      <c r="V66" s="22">
        <f>IFERROR(SUMIFS(T_Fe[Grua kg],T_Fe[Codigo],T_Info[[#This Row],[Codigo]])/SUMIFS(T_HA[Grua m3],T_HA[Codigo],T_Info[[#This Row],[Codigo]]),)</f>
        <v>0</v>
      </c>
      <c r="W66" s="22">
        <f>IFERROR(SUMIFS(T_Fe[Muros kg],T_Fe[Codigo],T_Info[[#This Row],[Codigo]])/SUMIFS(T_HA[Muros Int m3],T_HA[Codigo],T_Info[[#This Row],[Codigo]]),)</f>
        <v>107.60849882932841</v>
      </c>
      <c r="X66" s="22">
        <f>IFERROR(SUMIFS(T_Fe[Perimetrales kg],T_Fe[Codigo],T_Info[[#This Row],[Codigo]])/SUMIFS(T_HA[Perimetrales m3],T_HA[Codigo],T_Info[[#This Row],[Codigo]]),)</f>
        <v>145.22354692556635</v>
      </c>
      <c r="Y66" s="22">
        <f>IFERROR(SUMIFS(T_Fe[Vigas kg],T_Fe[Codigo],T_Info[[#This Row],[Codigo]])/SUMIFS(T_HA[Vigas m3],T_HA[Codigo],T_Info[[#This Row],[Codigo]]),)</f>
        <v>238.59285894736843</v>
      </c>
      <c r="Z66" s="50">
        <f>IFERROR(SUMIFS(T_Fe[Losas kg],T_Fe[Codigo],T_Info[[#This Row],[Codigo]])/SUMIFS(T_HA[Losas m3],T_HA[Codigo],T_Info[[#This Row],[Codigo]]),)</f>
        <v>79.978047314798829</v>
      </c>
      <c r="AA66" s="49">
        <f>SUMIFS(T_Fe[Fund kg/m2],T_Fe[Codigo],T_Info[[#This Row],[Codigo]])</f>
        <v>1.47</v>
      </c>
      <c r="AB66" s="22">
        <f>SUMIFS(T_Fe[Muros kg/m2],T_Fe[Codigo],T_Info[[#This Row],[Codigo]])</f>
        <v>13.33</v>
      </c>
      <c r="AC66" s="22">
        <f>SUMIFS(T_Fe[Perimetrales kg/m2],T_Fe[Codigo],T_Info[[#This Row],[Codigo]])</f>
        <v>1.37</v>
      </c>
      <c r="AD66" s="22">
        <f>SUMIFS(T_Fe[Vigas kg/m2],T_Fe[Codigo],T_Info[[#This Row],[Codigo]])</f>
        <v>1.73</v>
      </c>
      <c r="AE66" s="50">
        <f>SUMIFS(T_Fe[Losas kg/m2],T_Fe[Codigo],T_Info[[#This Row],[Codigo]])</f>
        <v>14.139999999999999</v>
      </c>
      <c r="AF66" s="49">
        <f>IFERROR(SUMIFS(T_HA[Fund m3/m2],T_HA[Codigo],T_Info[[#This Row],[Codigo]]),)</f>
        <v>5.1468283528928072E-2</v>
      </c>
      <c r="AG66" s="22">
        <f>IFERROR(SUMIFS(T_HA[Muros Int m3/m2],T_HA[Codigo],T_Info[[#This Row],[Codigo]]),)</f>
        <v>0.12387497404960493</v>
      </c>
      <c r="AH66" s="22">
        <f>IFERROR(SUMIFS(T_HA[Perimetrales m3/m2],T_HA[Codigo],T_Info[[#This Row],[Codigo]]),)</f>
        <v>9.4337318499883981E-3</v>
      </c>
      <c r="AI66" s="22">
        <f>IFERROR(SUMIFS(T_HA[Vigas m3/m2],T_HA[Codigo],T_Info[[#This Row],[Codigo]]),)</f>
        <v>7.2508456775800794E-3</v>
      </c>
      <c r="AJ66" s="50">
        <f>IFERROR(SUMIFS(T_HA[Losas m3/m2],T_HA[Codigo],T_Info[[#This Row],[Codigo]]),)</f>
        <v>0.17679851502680521</v>
      </c>
      <c r="AK66" s="22">
        <f>IFERROR(SUMIFS(T_HA[Fund m3],T_HA[Codigo],T_Info[[#This Row],[Codigo]])/SUMIFS(T_MLD[Fund Lat m2],T_MLD[Codigo],T_Info[[#This Row],[Codigo]]),)</f>
        <v>0</v>
      </c>
      <c r="AL66" s="22">
        <f>IFERROR(SUMIFS(T_HA[Muros m3],T_HA[Codigo],T_Info[[#This Row],[Codigo]])/SUMIFS(T_MLD[Muro m2],T_MLD[Codigo],T_Info[[#This Row],[Codigo]]),)</f>
        <v>0</v>
      </c>
      <c r="AM66" s="22">
        <f>IFERROR(SUMIFS(T_HA[Vigas m3],T_HA[Codigo],T_Info[[#This Row],[Codigo]])/(SUMIFS(T_MLD[Viga Lat m2],T_MLD[Codigo],T_Info[[#This Row],[Codigo]])+SUMIFS(T_MLD[Viga Fondo m2],T_MLD[Codigo],T_Info[[#This Row],[Codigo]])),)</f>
        <v>0</v>
      </c>
      <c r="AN66" s="22">
        <f>IFERROR(SUMIFS(T_HA[Losas m3],T_HA[Codigo],T_Info[[#This Row],[Codigo]])/(SUMIFS(T_MLD[Losa Fondo m2],T_MLD[Codigo],T_Info[[#This Row],[Codigo]])+SUMIFS(T_MLD[Rebalse m2],T_MLD[Codigo],T_Info[[#This Row],[Codigo]])),)</f>
        <v>0</v>
      </c>
      <c r="AO66" s="49">
        <f>IFERROR(SUMIFS(T_MLD[Fund Lat m2],T_MLD[Codigo],T_Info[[#This Row],[Codigo]])/T_Info[[#This Row],[Superficie m2]],)</f>
        <v>0</v>
      </c>
      <c r="AP66" s="22">
        <f>IFERROR(SUMIFS(T_MLD[Muro m2],T_MLD[Codigo],T_Info[[#This Row],[Codigo]])/T_Info[[#This Row],[Superficie m2]],)</f>
        <v>0</v>
      </c>
      <c r="AQ66" s="22">
        <f>IFERROR((SUMIFS(T_MLD[Viga Lat m2],T_MLD[Codigo],T_Info[[#This Row],[Codigo]])+SUMIFS(T_MLD[Viga Fondo m2],T_MLD[Codigo],T_Info[[#This Row],[Codigo]]))/T_Info[[#This Row],[Superficie m2]],)</f>
        <v>0</v>
      </c>
      <c r="AR66" s="50">
        <f>IFERROR((SUMIFS(T_MLD[Losa Fondo m2],T_MLD[Codigo],T_Info[[#This Row],[Codigo]])+SUMIFS(T_MLD[Rebalse m2],T_MLD[Codigo],T_Info[[#This Row],[Codigo]]))/T_Info[[#This Row],[Superficie m2]],)</f>
        <v>0</v>
      </c>
    </row>
    <row r="67" spans="1:44" x14ac:dyDescent="0.25">
      <c r="A67" s="52">
        <v>66</v>
      </c>
      <c r="B67" s="34">
        <v>20053</v>
      </c>
      <c r="C67" s="46" t="s">
        <v>60</v>
      </c>
      <c r="D67" s="6" t="s">
        <v>255</v>
      </c>
      <c r="E67" s="45" t="s">
        <v>80</v>
      </c>
      <c r="F67" s="34">
        <v>2</v>
      </c>
      <c r="G67" s="34">
        <v>10</v>
      </c>
      <c r="H67" s="34">
        <v>3</v>
      </c>
      <c r="I67" s="33">
        <v>15742.57</v>
      </c>
      <c r="J67" s="30"/>
      <c r="K67" s="53"/>
      <c r="L67" s="46"/>
      <c r="M67" s="47">
        <f>SUMIFS(T_Fe[Total kg],T_Fe[Codigo],T_Info[[#This Row],[Codigo]])</f>
        <v>463933.5379</v>
      </c>
      <c r="N67" s="33">
        <f>SUMIFS(T_HA[Total m3],T_HA[Codigo],T_Info[[#This Row],[Codigo]])</f>
        <v>5164.4000000000005</v>
      </c>
      <c r="O67" s="48">
        <f>SUMIFS(T_MLD[Total m2],T_MLD[Codigo],T_Info[[#This Row],[Codigo]])</f>
        <v>0</v>
      </c>
      <c r="P67" s="49">
        <f>IFERROR(T_Info[[#This Row],[Fe (kg)]]/T_Info[[#This Row],[HA (m3)]],)</f>
        <v>89.832998586476634</v>
      </c>
      <c r="Q67" s="22">
        <f>IFERROR(T_Info[[#This Row],[Fe (kg)]]/T_Info[[#This Row],[Superficie m2]],)</f>
        <v>29.47</v>
      </c>
      <c r="R67" s="22">
        <f>IFERROR(T_Info[[#This Row],[HA (m3)]]/T_Info[[#This Row],[Superficie m2]],)</f>
        <v>0.32805317047978827</v>
      </c>
      <c r="S67" s="22">
        <f>IFERROR(T_Info[[#This Row],[HA (m3)]]/T_Info[[#This Row],[MLD (m2)]],)</f>
        <v>0</v>
      </c>
      <c r="T67" s="50">
        <f>IFERROR(T_Info[[#This Row],[MLD (m2)]]/T_Info[[#This Row],[Superficie m2]],)</f>
        <v>0</v>
      </c>
      <c r="U67" s="49">
        <f>IFERROR(SUMIFS(T_Fe[Fund kg],T_Fe[Codigo],T_Info[[#This Row],[Codigo]])/SUMIFS(T_HA[Fund m3],T_HA[Codigo],T_Info[[#This Row],[Codigo]]),)</f>
        <v>10.917177531206656</v>
      </c>
      <c r="V67" s="22">
        <f>IFERROR(SUMIFS(T_Fe[Grua kg],T_Fe[Codigo],T_Info[[#This Row],[Codigo]])/SUMIFS(T_HA[Grua m3],T_HA[Codigo],T_Info[[#This Row],[Codigo]]),)</f>
        <v>0</v>
      </c>
      <c r="W67" s="22">
        <f>IFERROR(SUMIFS(T_Fe[Muros kg],T_Fe[Codigo],T_Info[[#This Row],[Codigo]])/SUMIFS(T_HA[Muros Int m3],T_HA[Codigo],T_Info[[#This Row],[Codigo]]),)</f>
        <v>88.937503487030256</v>
      </c>
      <c r="X67" s="22">
        <f>IFERROR(SUMIFS(T_Fe[Perimetrales kg],T_Fe[Codigo],T_Info[[#This Row],[Codigo]])/SUMIFS(T_HA[Perimetrales m3],T_HA[Codigo],T_Info[[#This Row],[Codigo]]),)</f>
        <v>139.12038604651164</v>
      </c>
      <c r="Y67" s="22">
        <f>IFERROR(SUMIFS(T_Fe[Vigas kg],T_Fe[Codigo],T_Info[[#This Row],[Codigo]])/SUMIFS(T_HA[Vigas m3],T_HA[Codigo],T_Info[[#This Row],[Codigo]]),)</f>
        <v>165.86308291342189</v>
      </c>
      <c r="Z67" s="50">
        <f>IFERROR(SUMIFS(T_Fe[Losas kg],T_Fe[Codigo],T_Info[[#This Row],[Codigo]])/SUMIFS(T_HA[Losas m3],T_HA[Codigo],T_Info[[#This Row],[Codigo]]),)</f>
        <v>85.465340075693859</v>
      </c>
      <c r="AA67" s="49">
        <f>SUMIFS(T_Fe[Fund kg/m2],T_Fe[Codigo],T_Info[[#This Row],[Codigo]])</f>
        <v>0.15</v>
      </c>
      <c r="AB67" s="22">
        <f>SUMIFS(T_Fe[Muros kg/m2],T_Fe[Codigo],T_Info[[#This Row],[Codigo]])</f>
        <v>11.26</v>
      </c>
      <c r="AC67" s="22">
        <f>SUMIFS(T_Fe[Perimetrales kg/m2],T_Fe[Codigo],T_Info[[#This Row],[Codigo]])</f>
        <v>2.85</v>
      </c>
      <c r="AD67" s="22">
        <f>SUMIFS(T_Fe[Vigas kg/m2],T_Fe[Codigo],T_Info[[#This Row],[Codigo]])</f>
        <v>2.3000000000000003</v>
      </c>
      <c r="AE67" s="50">
        <f>SUMIFS(T_Fe[Losas kg/m2],T_Fe[Codigo],T_Info[[#This Row],[Codigo]])</f>
        <v>12.910000000000002</v>
      </c>
      <c r="AF67" s="49">
        <f>IFERROR(SUMIFS(T_HA[Fund m3/m2],T_HA[Codigo],T_Info[[#This Row],[Codigo]]),)</f>
        <v>1.3739815036553754E-2</v>
      </c>
      <c r="AG67" s="22">
        <f>IFERROR(SUMIFS(T_HA[Muros Int m3/m2],T_HA[Codigo],T_Info[[#This Row],[Codigo]]),)</f>
        <v>0.12660575750973316</v>
      </c>
      <c r="AH67" s="22">
        <f>IFERROR(SUMIFS(T_HA[Perimetrales m3/m2],T_HA[Codigo],T_Info[[#This Row],[Codigo]]),)</f>
        <v>2.0485854596803445E-2</v>
      </c>
      <c r="AI67" s="22">
        <f>IFERROR(SUMIFS(T_HA[Vigas m3/m2],T_HA[Codigo],T_Info[[#This Row],[Codigo]]),)</f>
        <v>1.3866859096068813E-2</v>
      </c>
      <c r="AJ67" s="50">
        <f>IFERROR(SUMIFS(T_HA[Losas m3/m2],T_HA[Codigo],T_Info[[#This Row],[Codigo]]),)</f>
        <v>0.15105538676340649</v>
      </c>
      <c r="AK67" s="22">
        <f>IFERROR(SUMIFS(T_HA[Fund m3],T_HA[Codigo],T_Info[[#This Row],[Codigo]])/SUMIFS(T_MLD[Fund Lat m2],T_MLD[Codigo],T_Info[[#This Row],[Codigo]]),)</f>
        <v>0</v>
      </c>
      <c r="AL67" s="22">
        <f>IFERROR(SUMIFS(T_HA[Muros m3],T_HA[Codigo],T_Info[[#This Row],[Codigo]])/SUMIFS(T_MLD[Muro m2],T_MLD[Codigo],T_Info[[#This Row],[Codigo]]),)</f>
        <v>0</v>
      </c>
      <c r="AM67" s="22">
        <f>IFERROR(SUMIFS(T_HA[Vigas m3],T_HA[Codigo],T_Info[[#This Row],[Codigo]])/(SUMIFS(T_MLD[Viga Lat m2],T_MLD[Codigo],T_Info[[#This Row],[Codigo]])+SUMIFS(T_MLD[Viga Fondo m2],T_MLD[Codigo],T_Info[[#This Row],[Codigo]])),)</f>
        <v>0</v>
      </c>
      <c r="AN67" s="22">
        <f>IFERROR(SUMIFS(T_HA[Losas m3],T_HA[Codigo],T_Info[[#This Row],[Codigo]])/(SUMIFS(T_MLD[Losa Fondo m2],T_MLD[Codigo],T_Info[[#This Row],[Codigo]])+SUMIFS(T_MLD[Rebalse m2],T_MLD[Codigo],T_Info[[#This Row],[Codigo]])),)</f>
        <v>0</v>
      </c>
      <c r="AO67" s="49">
        <f>IFERROR(SUMIFS(T_MLD[Fund Lat m2],T_MLD[Codigo],T_Info[[#This Row],[Codigo]])/T_Info[[#This Row],[Superficie m2]],)</f>
        <v>0</v>
      </c>
      <c r="AP67" s="22">
        <f>IFERROR(SUMIFS(T_MLD[Muro m2],T_MLD[Codigo],T_Info[[#This Row],[Codigo]])/T_Info[[#This Row],[Superficie m2]],)</f>
        <v>0</v>
      </c>
      <c r="AQ67" s="22">
        <f>IFERROR((SUMIFS(T_MLD[Viga Lat m2],T_MLD[Codigo],T_Info[[#This Row],[Codigo]])+SUMIFS(T_MLD[Viga Fondo m2],T_MLD[Codigo],T_Info[[#This Row],[Codigo]]))/T_Info[[#This Row],[Superficie m2]],)</f>
        <v>0</v>
      </c>
      <c r="AR67" s="50">
        <f>IFERROR((SUMIFS(T_MLD[Losa Fondo m2],T_MLD[Codigo],T_Info[[#This Row],[Codigo]])+SUMIFS(T_MLD[Rebalse m2],T_MLD[Codigo],T_Info[[#This Row],[Codigo]]))/T_Info[[#This Row],[Superficie m2]],)</f>
        <v>0</v>
      </c>
    </row>
    <row r="68" spans="1:44" x14ac:dyDescent="0.25">
      <c r="A68" s="52">
        <v>67</v>
      </c>
      <c r="B68" s="34">
        <v>20064</v>
      </c>
      <c r="C68" s="46" t="s">
        <v>61</v>
      </c>
      <c r="D68" s="6" t="s">
        <v>254</v>
      </c>
      <c r="E68" s="45" t="s">
        <v>80</v>
      </c>
      <c r="F68" s="34">
        <v>2</v>
      </c>
      <c r="G68" s="34">
        <v>16</v>
      </c>
      <c r="H68" s="34">
        <v>2</v>
      </c>
      <c r="I68" s="33">
        <v>32460.95</v>
      </c>
      <c r="J68" s="30"/>
      <c r="K68" s="53"/>
      <c r="L68" s="46"/>
      <c r="M68" s="47">
        <f>SUMIFS(T_Fe[Total kg],T_Fe[Codigo],T_Info[[#This Row],[Codigo]])</f>
        <v>1066991.4265000001</v>
      </c>
      <c r="N68" s="33">
        <f>SUMIFS(T_HA[Total m3],T_HA[Codigo],T_Info[[#This Row],[Codigo]])</f>
        <v>10614.300000000003</v>
      </c>
      <c r="O68" s="48">
        <f>SUMIFS(T_MLD[Total m2],T_MLD[Codigo],T_Info[[#This Row],[Codigo]])</f>
        <v>0</v>
      </c>
      <c r="P68" s="49">
        <f>IFERROR(T_Info[[#This Row],[Fe (kg)]]/T_Info[[#This Row],[HA (m3)]],)</f>
        <v>100.52395603101475</v>
      </c>
      <c r="Q68" s="22">
        <f>IFERROR(T_Info[[#This Row],[Fe (kg)]]/T_Info[[#This Row],[Superficie m2]],)</f>
        <v>32.870000000000005</v>
      </c>
      <c r="R68" s="22">
        <f>IFERROR(T_Info[[#This Row],[HA (m3)]]/T_Info[[#This Row],[Superficie m2]],)</f>
        <v>0.32698673329030736</v>
      </c>
      <c r="S68" s="22">
        <f>IFERROR(T_Info[[#This Row],[HA (m3)]]/T_Info[[#This Row],[MLD (m2)]],)</f>
        <v>0</v>
      </c>
      <c r="T68" s="50">
        <f>IFERROR(T_Info[[#This Row],[MLD (m2)]]/T_Info[[#This Row],[Superficie m2]],)</f>
        <v>0</v>
      </c>
      <c r="U68" s="49">
        <f>IFERROR(SUMIFS(T_Fe[Fund kg],T_Fe[Codigo],T_Info[[#This Row],[Codigo]])/SUMIFS(T_HA[Fund m3],T_HA[Codigo],T_Info[[#This Row],[Codigo]]),)</f>
        <v>50.143246916536945</v>
      </c>
      <c r="V68" s="22">
        <f>IFERROR(SUMIFS(T_Fe[Grua kg],T_Fe[Codigo],T_Info[[#This Row],[Codigo]])/SUMIFS(T_HA[Grua m3],T_HA[Codigo],T_Info[[#This Row],[Codigo]]),)</f>
        <v>0</v>
      </c>
      <c r="W68" s="22">
        <f>IFERROR(SUMIFS(T_Fe[Muros kg],T_Fe[Codigo],T_Info[[#This Row],[Codigo]])/SUMIFS(T_HA[Muros Int m3],T_HA[Codigo],T_Info[[#This Row],[Codigo]]),)</f>
        <v>118.17615869349085</v>
      </c>
      <c r="X68" s="22">
        <f>IFERROR(SUMIFS(T_Fe[Perimetrales kg],T_Fe[Codigo],T_Info[[#This Row],[Codigo]])/SUMIFS(T_HA[Perimetrales m3],T_HA[Codigo],T_Info[[#This Row],[Codigo]]),)</f>
        <v>108.60019965465142</v>
      </c>
      <c r="Y68" s="22">
        <f>IFERROR(SUMIFS(T_Fe[Vigas kg],T_Fe[Codigo],T_Info[[#This Row],[Codigo]])/SUMIFS(T_HA[Vigas m3],T_HA[Codigo],T_Info[[#This Row],[Codigo]]),)</f>
        <v>203.68779938135216</v>
      </c>
      <c r="Z68" s="50">
        <f>IFERROR(SUMIFS(T_Fe[Losas kg],T_Fe[Codigo],T_Info[[#This Row],[Codigo]])/SUMIFS(T_HA[Losas m3],T_HA[Codigo],T_Info[[#This Row],[Codigo]]),)</f>
        <v>88.732897464903658</v>
      </c>
      <c r="AA68" s="49">
        <f>SUMIFS(T_Fe[Fund kg/m2],T_Fe[Codigo],T_Info[[#This Row],[Codigo]])</f>
        <v>1.29</v>
      </c>
      <c r="AB68" s="22">
        <f>SUMIFS(T_Fe[Muros kg/m2],T_Fe[Codigo],T_Info[[#This Row],[Codigo]])</f>
        <v>12.45</v>
      </c>
      <c r="AC68" s="22">
        <f>SUMIFS(T_Fe[Perimetrales kg/m2],T_Fe[Codigo],T_Info[[#This Row],[Codigo]])</f>
        <v>1.55</v>
      </c>
      <c r="AD68" s="22">
        <f>SUMIFS(T_Fe[Vigas kg/m2],T_Fe[Codigo],T_Info[[#This Row],[Codigo]])</f>
        <v>2.84</v>
      </c>
      <c r="AE68" s="50">
        <f>SUMIFS(T_Fe[Losas kg/m2],T_Fe[Codigo],T_Info[[#This Row],[Codigo]])</f>
        <v>14.74</v>
      </c>
      <c r="AF68" s="49">
        <f>IFERROR(SUMIFS(T_HA[Fund m3/m2],T_HA[Codigo],T_Info[[#This Row],[Codigo]]),)</f>
        <v>2.5726295749200195E-2</v>
      </c>
      <c r="AG68" s="22">
        <f>IFERROR(SUMIFS(T_HA[Muros Int m3/m2],T_HA[Codigo],T_Info[[#This Row],[Codigo]]),)</f>
        <v>0.1053511989020654</v>
      </c>
      <c r="AH68" s="22">
        <f>IFERROR(SUMIFS(T_HA[Perimetrales m3/m2],T_HA[Codigo],T_Info[[#This Row],[Codigo]]),)</f>
        <v>1.4272533613464793E-2</v>
      </c>
      <c r="AI68" s="22">
        <f>IFERROR(SUMIFS(T_HA[Vigas m3/m2],T_HA[Codigo],T_Info[[#This Row],[Codigo]]),)</f>
        <v>1.3942906784921575E-2</v>
      </c>
      <c r="AJ68" s="50">
        <f>IFERROR(SUMIFS(T_HA[Losas m3/m2],T_HA[Codigo],T_Info[[#This Row],[Codigo]]),)</f>
        <v>0.16611651846295319</v>
      </c>
      <c r="AK68" s="22">
        <f>IFERROR(SUMIFS(T_HA[Fund m3],T_HA[Codigo],T_Info[[#This Row],[Codigo]])/SUMIFS(T_MLD[Fund Lat m2],T_MLD[Codigo],T_Info[[#This Row],[Codigo]]),)</f>
        <v>0</v>
      </c>
      <c r="AL68" s="22">
        <f>IFERROR(SUMIFS(T_HA[Muros m3],T_HA[Codigo],T_Info[[#This Row],[Codigo]])/SUMIFS(T_MLD[Muro m2],T_MLD[Codigo],T_Info[[#This Row],[Codigo]]),)</f>
        <v>0</v>
      </c>
      <c r="AM68" s="22">
        <f>IFERROR(SUMIFS(T_HA[Vigas m3],T_HA[Codigo],T_Info[[#This Row],[Codigo]])/(SUMIFS(T_MLD[Viga Lat m2],T_MLD[Codigo],T_Info[[#This Row],[Codigo]])+SUMIFS(T_MLD[Viga Fondo m2],T_MLD[Codigo],T_Info[[#This Row],[Codigo]])),)</f>
        <v>0</v>
      </c>
      <c r="AN68" s="22">
        <f>IFERROR(SUMIFS(T_HA[Losas m3],T_HA[Codigo],T_Info[[#This Row],[Codigo]])/(SUMIFS(T_MLD[Losa Fondo m2],T_MLD[Codigo],T_Info[[#This Row],[Codigo]])+SUMIFS(T_MLD[Rebalse m2],T_MLD[Codigo],T_Info[[#This Row],[Codigo]])),)</f>
        <v>0</v>
      </c>
      <c r="AO68" s="49">
        <f>IFERROR(SUMIFS(T_MLD[Fund Lat m2],T_MLD[Codigo],T_Info[[#This Row],[Codigo]])/T_Info[[#This Row],[Superficie m2]],)</f>
        <v>0</v>
      </c>
      <c r="AP68" s="22">
        <f>IFERROR(SUMIFS(T_MLD[Muro m2],T_MLD[Codigo],T_Info[[#This Row],[Codigo]])/T_Info[[#This Row],[Superficie m2]],)</f>
        <v>0</v>
      </c>
      <c r="AQ68" s="22">
        <f>IFERROR((SUMIFS(T_MLD[Viga Lat m2],T_MLD[Codigo],T_Info[[#This Row],[Codigo]])+SUMIFS(T_MLD[Viga Fondo m2],T_MLD[Codigo],T_Info[[#This Row],[Codigo]]))/T_Info[[#This Row],[Superficie m2]],)</f>
        <v>0</v>
      </c>
      <c r="AR68" s="50">
        <f>IFERROR((SUMIFS(T_MLD[Losa Fondo m2],T_MLD[Codigo],T_Info[[#This Row],[Codigo]])+SUMIFS(T_MLD[Rebalse m2],T_MLD[Codigo],T_Info[[#This Row],[Codigo]]))/T_Info[[#This Row],[Superficie m2]],)</f>
        <v>0</v>
      </c>
    </row>
    <row r="69" spans="1:44" x14ac:dyDescent="0.25">
      <c r="A69" s="52">
        <v>68</v>
      </c>
      <c r="B69" s="34">
        <v>20103</v>
      </c>
      <c r="C69" s="46" t="s">
        <v>62</v>
      </c>
      <c r="D69" s="6" t="s">
        <v>255</v>
      </c>
      <c r="E69" s="45" t="s">
        <v>80</v>
      </c>
      <c r="F69" s="34">
        <v>2</v>
      </c>
      <c r="G69" s="34">
        <v>17</v>
      </c>
      <c r="H69" s="34">
        <v>2</v>
      </c>
      <c r="I69" s="33">
        <v>20964.990000000002</v>
      </c>
      <c r="J69" s="30"/>
      <c r="K69" s="53"/>
      <c r="L69" s="46"/>
      <c r="M69" s="47">
        <f>SUMIFS(T_Fe[Total kg],T_Fe[Codigo],T_Info[[#This Row],[Codigo]])</f>
        <v>601275.91320000007</v>
      </c>
      <c r="N69" s="33">
        <f>SUMIFS(T_HA[Total m3],T_HA[Codigo],T_Info[[#This Row],[Codigo]])</f>
        <v>7080.8</v>
      </c>
      <c r="O69" s="48">
        <f>SUMIFS(T_MLD[Total m2],T_MLD[Codigo],T_Info[[#This Row],[Codigo]])</f>
        <v>0</v>
      </c>
      <c r="P69" s="49">
        <f>IFERROR(T_Info[[#This Row],[Fe (kg)]]/T_Info[[#This Row],[HA (m3)]],)</f>
        <v>84.916381369336804</v>
      </c>
      <c r="Q69" s="22">
        <f>IFERROR(T_Info[[#This Row],[Fe (kg)]]/T_Info[[#This Row],[Superficie m2]],)</f>
        <v>28.68</v>
      </c>
      <c r="R69" s="22">
        <f>IFERROR(T_Info[[#This Row],[HA (m3)]]/T_Info[[#This Row],[Superficie m2]],)</f>
        <v>0.33774401991129016</v>
      </c>
      <c r="S69" s="22">
        <f>IFERROR(T_Info[[#This Row],[HA (m3)]]/T_Info[[#This Row],[MLD (m2)]],)</f>
        <v>0</v>
      </c>
      <c r="T69" s="50">
        <f>IFERROR(T_Info[[#This Row],[MLD (m2)]]/T_Info[[#This Row],[Superficie m2]],)</f>
        <v>0</v>
      </c>
      <c r="U69" s="49">
        <f>IFERROR(SUMIFS(T_Fe[Fund kg],T_Fe[Codigo],T_Info[[#This Row],[Codigo]])/SUMIFS(T_HA[Fund m3],T_HA[Codigo],T_Info[[#This Row],[Codigo]]),)</f>
        <v>27.26812106053027</v>
      </c>
      <c r="V69" s="22">
        <f>IFERROR(SUMIFS(T_Fe[Grua kg],T_Fe[Codigo],T_Info[[#This Row],[Codigo]])/SUMIFS(T_HA[Grua m3],T_HA[Codigo],T_Info[[#This Row],[Codigo]]),)</f>
        <v>0</v>
      </c>
      <c r="W69" s="22">
        <f>IFERROR(SUMIFS(T_Fe[Muros kg],T_Fe[Codigo],T_Info[[#This Row],[Codigo]])/SUMIFS(T_HA[Muros Int m3],T_HA[Codigo],T_Info[[#This Row],[Codigo]]),)</f>
        <v>81.578838898554608</v>
      </c>
      <c r="X69" s="22">
        <f>IFERROR(SUMIFS(T_Fe[Perimetrales kg],T_Fe[Codigo],T_Info[[#This Row],[Codigo]])/SUMIFS(T_HA[Perimetrales m3],T_HA[Codigo],T_Info[[#This Row],[Codigo]]),)</f>
        <v>133.05850931480896</v>
      </c>
      <c r="Y69" s="22">
        <f>IFERROR(SUMIFS(T_Fe[Vigas kg],T_Fe[Codigo],T_Info[[#This Row],[Codigo]])/SUMIFS(T_HA[Vigas m3],T_HA[Codigo],T_Info[[#This Row],[Codigo]]),)</f>
        <v>144.25045884339383</v>
      </c>
      <c r="Z69" s="50">
        <f>IFERROR(SUMIFS(T_Fe[Losas kg],T_Fe[Codigo],T_Info[[#This Row],[Codigo]])/SUMIFS(T_HA[Losas m3],T_HA[Codigo],T_Info[[#This Row],[Codigo]]),)</f>
        <v>86.101676256929849</v>
      </c>
      <c r="AA69" s="49">
        <f>SUMIFS(T_Fe[Fund kg/m2],T_Fe[Codigo],T_Info[[#This Row],[Codigo]])</f>
        <v>0.52</v>
      </c>
      <c r="AB69" s="22">
        <f>SUMIFS(T_Fe[Muros kg/m2],T_Fe[Codigo],T_Info[[#This Row],[Codigo]])</f>
        <v>11.63</v>
      </c>
      <c r="AC69" s="22">
        <f>SUMIFS(T_Fe[Perimetrales kg/m2],T_Fe[Codigo],T_Info[[#This Row],[Codigo]])</f>
        <v>2.0099999999999998</v>
      </c>
      <c r="AD69" s="22">
        <f>SUMIFS(T_Fe[Vigas kg/m2],T_Fe[Codigo],T_Info[[#This Row],[Codigo]])</f>
        <v>1.63</v>
      </c>
      <c r="AE69" s="50">
        <f>SUMIFS(T_Fe[Losas kg/m2],T_Fe[Codigo],T_Info[[#This Row],[Codigo]])</f>
        <v>12.89</v>
      </c>
      <c r="AF69" s="49">
        <f>IFERROR(SUMIFS(T_HA[Fund m3/m2],T_HA[Codigo],T_Info[[#This Row],[Codigo]]),)</f>
        <v>1.9069887464768644E-2</v>
      </c>
      <c r="AG69" s="22">
        <f>IFERROR(SUMIFS(T_HA[Muros Int m3/m2],T_HA[Codigo],T_Info[[#This Row],[Codigo]]),)</f>
        <v>0.14256147987668966</v>
      </c>
      <c r="AH69" s="22">
        <f>IFERROR(SUMIFS(T_HA[Perimetrales m3/m2],T_HA[Codigo],T_Info[[#This Row],[Codigo]]),)</f>
        <v>1.5106136468464806E-2</v>
      </c>
      <c r="AI69" s="22">
        <f>IFERROR(SUMIFS(T_HA[Vigas m3/m2],T_HA[Codigo],T_Info[[#This Row],[Codigo]]),)</f>
        <v>1.129979074638242E-2</v>
      </c>
      <c r="AJ69" s="50">
        <f>IFERROR(SUMIFS(T_HA[Losas m3/m2],T_HA[Codigo],T_Info[[#This Row],[Codigo]]),)</f>
        <v>0.14970672535498464</v>
      </c>
      <c r="AK69" s="22">
        <f>IFERROR(SUMIFS(T_HA[Fund m3],T_HA[Codigo],T_Info[[#This Row],[Codigo]])/SUMIFS(T_MLD[Fund Lat m2],T_MLD[Codigo],T_Info[[#This Row],[Codigo]]),)</f>
        <v>0</v>
      </c>
      <c r="AL69" s="22">
        <f>IFERROR(SUMIFS(T_HA[Muros m3],T_HA[Codigo],T_Info[[#This Row],[Codigo]])/SUMIFS(T_MLD[Muro m2],T_MLD[Codigo],T_Info[[#This Row],[Codigo]]),)</f>
        <v>0</v>
      </c>
      <c r="AM69" s="22">
        <f>IFERROR(SUMIFS(T_HA[Vigas m3],T_HA[Codigo],T_Info[[#This Row],[Codigo]])/(SUMIFS(T_MLD[Viga Lat m2],T_MLD[Codigo],T_Info[[#This Row],[Codigo]])+SUMIFS(T_MLD[Viga Fondo m2],T_MLD[Codigo],T_Info[[#This Row],[Codigo]])),)</f>
        <v>0</v>
      </c>
      <c r="AN69" s="22">
        <f>IFERROR(SUMIFS(T_HA[Losas m3],T_HA[Codigo],T_Info[[#This Row],[Codigo]])/(SUMIFS(T_MLD[Losa Fondo m2],T_MLD[Codigo],T_Info[[#This Row],[Codigo]])+SUMIFS(T_MLD[Rebalse m2],T_MLD[Codigo],T_Info[[#This Row],[Codigo]])),)</f>
        <v>0</v>
      </c>
      <c r="AO69" s="49">
        <f>IFERROR(SUMIFS(T_MLD[Fund Lat m2],T_MLD[Codigo],T_Info[[#This Row],[Codigo]])/T_Info[[#This Row],[Superficie m2]],)</f>
        <v>0</v>
      </c>
      <c r="AP69" s="22">
        <f>IFERROR(SUMIFS(T_MLD[Muro m2],T_MLD[Codigo],T_Info[[#This Row],[Codigo]])/T_Info[[#This Row],[Superficie m2]],)</f>
        <v>0</v>
      </c>
      <c r="AQ69" s="22">
        <f>IFERROR((SUMIFS(T_MLD[Viga Lat m2],T_MLD[Codigo],T_Info[[#This Row],[Codigo]])+SUMIFS(T_MLD[Viga Fondo m2],T_MLD[Codigo],T_Info[[#This Row],[Codigo]]))/T_Info[[#This Row],[Superficie m2]],)</f>
        <v>0</v>
      </c>
      <c r="AR69" s="50">
        <f>IFERROR((SUMIFS(T_MLD[Losa Fondo m2],T_MLD[Codigo],T_Info[[#This Row],[Codigo]])+SUMIFS(T_MLD[Rebalse m2],T_MLD[Codigo],T_Info[[#This Row],[Codigo]]))/T_Info[[#This Row],[Superficie m2]],)</f>
        <v>0</v>
      </c>
    </row>
    <row r="70" spans="1:44" x14ac:dyDescent="0.25">
      <c r="A70" s="52">
        <v>69</v>
      </c>
      <c r="B70" s="34">
        <v>20123</v>
      </c>
      <c r="C70" s="46" t="s">
        <v>63</v>
      </c>
      <c r="D70" s="6" t="s">
        <v>255</v>
      </c>
      <c r="E70" s="45" t="s">
        <v>91</v>
      </c>
      <c r="F70" s="34">
        <v>2</v>
      </c>
      <c r="G70" s="34">
        <v>18</v>
      </c>
      <c r="H70" s="34">
        <v>3</v>
      </c>
      <c r="I70" s="33">
        <v>28495.62</v>
      </c>
      <c r="J70" s="30"/>
      <c r="K70" s="53"/>
      <c r="L70" s="46"/>
      <c r="M70" s="47">
        <f>SUMIFS(T_Fe[Total kg],T_Fe[Codigo],T_Info[[#This Row],[Codigo]])</f>
        <v>952323.6203999999</v>
      </c>
      <c r="N70" s="33">
        <f>SUMIFS(T_HA[Total m3],T_HA[Codigo],T_Info[[#This Row],[Codigo]])</f>
        <v>9542.6000000000022</v>
      </c>
      <c r="O70" s="48">
        <f>SUMIFS(T_MLD[Total m2],T_MLD[Codigo],T_Info[[#This Row],[Codigo]])</f>
        <v>0</v>
      </c>
      <c r="P70" s="49">
        <f>IFERROR(T_Info[[#This Row],[Fe (kg)]]/T_Info[[#This Row],[HA (m3)]],)</f>
        <v>99.79708050216918</v>
      </c>
      <c r="Q70" s="22">
        <f>IFERROR(T_Info[[#This Row],[Fe (kg)]]/T_Info[[#This Row],[Superficie m2]],)</f>
        <v>33.419999999999995</v>
      </c>
      <c r="R70" s="22">
        <f>IFERROR(T_Info[[#This Row],[HA (m3)]]/T_Info[[#This Row],[Superficie m2]],)</f>
        <v>0.33487953587253066</v>
      </c>
      <c r="S70" s="22">
        <f>IFERROR(T_Info[[#This Row],[HA (m3)]]/T_Info[[#This Row],[MLD (m2)]],)</f>
        <v>0</v>
      </c>
      <c r="T70" s="50">
        <f>IFERROR(T_Info[[#This Row],[MLD (m2)]]/T_Info[[#This Row],[Superficie m2]],)</f>
        <v>0</v>
      </c>
      <c r="U70" s="49">
        <f>IFERROR(SUMIFS(T_Fe[Fund kg],T_Fe[Codigo],T_Info[[#This Row],[Codigo]])/SUMIFS(T_HA[Fund m3],T_HA[Codigo],T_Info[[#This Row],[Codigo]]),)</f>
        <v>42.648398243045385</v>
      </c>
      <c r="V70" s="22">
        <f>IFERROR(SUMIFS(T_Fe[Grua kg],T_Fe[Codigo],T_Info[[#This Row],[Codigo]])/SUMIFS(T_HA[Grua m3],T_HA[Codigo],T_Info[[#This Row],[Codigo]]),)</f>
        <v>0</v>
      </c>
      <c r="W70" s="22">
        <f>IFERROR(SUMIFS(T_Fe[Muros kg],T_Fe[Codigo],T_Info[[#This Row],[Codigo]])/SUMIFS(T_HA[Muros Int m3],T_HA[Codigo],T_Info[[#This Row],[Codigo]]),)</f>
        <v>112.1927583286777</v>
      </c>
      <c r="X70" s="22">
        <f>IFERROR(SUMIFS(T_Fe[Perimetrales kg],T_Fe[Codigo],T_Info[[#This Row],[Codigo]])/SUMIFS(T_HA[Perimetrales m3],T_HA[Codigo],T_Info[[#This Row],[Codigo]]),)</f>
        <v>187.41690093071352</v>
      </c>
      <c r="Y70" s="22">
        <f>IFERROR(SUMIFS(T_Fe[Vigas kg],T_Fe[Codigo],T_Info[[#This Row],[Codigo]])/SUMIFS(T_HA[Vigas m3],T_HA[Codigo],T_Info[[#This Row],[Codigo]]),)</f>
        <v>166.64910681488641</v>
      </c>
      <c r="Z70" s="50">
        <f>IFERROR(SUMIFS(T_Fe[Losas kg],T_Fe[Codigo],T_Info[[#This Row],[Codigo]])/SUMIFS(T_HA[Losas m3],T_HA[Codigo],T_Info[[#This Row],[Codigo]]),)</f>
        <v>84.517195653128425</v>
      </c>
      <c r="AA70" s="49">
        <f>SUMIFS(T_Fe[Fund kg/m2],T_Fe[Codigo],T_Info[[#This Row],[Codigo]])</f>
        <v>0.92000000000000015</v>
      </c>
      <c r="AB70" s="22">
        <f>SUMIFS(T_Fe[Muros kg/m2],T_Fe[Codigo],T_Info[[#This Row],[Codigo]])</f>
        <v>13.39</v>
      </c>
      <c r="AC70" s="22">
        <f>SUMIFS(T_Fe[Perimetrales kg/m2],T_Fe[Codigo],T_Info[[#This Row],[Codigo]])</f>
        <v>3.18</v>
      </c>
      <c r="AD70" s="22">
        <f>SUMIFS(T_Fe[Vigas kg/m2],T_Fe[Codigo],T_Info[[#This Row],[Codigo]])</f>
        <v>2.42</v>
      </c>
      <c r="AE70" s="50">
        <f>SUMIFS(T_Fe[Losas kg/m2],T_Fe[Codigo],T_Info[[#This Row],[Codigo]])</f>
        <v>13.509999999999998</v>
      </c>
      <c r="AF70" s="49">
        <f>IFERROR(SUMIFS(T_HA[Fund m3/m2],T_HA[Codigo],T_Info[[#This Row],[Codigo]]),)</f>
        <v>2.1571736287892669E-2</v>
      </c>
      <c r="AG70" s="22">
        <f>IFERROR(SUMIFS(T_HA[Muros Int m3/m2],T_HA[Codigo],T_Info[[#This Row],[Codigo]]),)</f>
        <v>0.11934816649014832</v>
      </c>
      <c r="AH70" s="22">
        <f>IFERROR(SUMIFS(T_HA[Perimetrales m3/m2],T_HA[Codigo],T_Info[[#This Row],[Codigo]]),)</f>
        <v>1.6967519920605342E-2</v>
      </c>
      <c r="AI70" s="22">
        <f>IFERROR(SUMIFS(T_HA[Vigas m3/m2],T_HA[Codigo],T_Info[[#This Row],[Codigo]]),)</f>
        <v>1.4521529975483952E-2</v>
      </c>
      <c r="AJ70" s="50">
        <f>IFERROR(SUMIFS(T_HA[Losas m3/m2],T_HA[Codigo],T_Info[[#This Row],[Codigo]]),)</f>
        <v>0.15984912769050122</v>
      </c>
      <c r="AK70" s="22">
        <f>IFERROR(SUMIFS(T_HA[Fund m3],T_HA[Codigo],T_Info[[#This Row],[Codigo]])/SUMIFS(T_MLD[Fund Lat m2],T_MLD[Codigo],T_Info[[#This Row],[Codigo]]),)</f>
        <v>0</v>
      </c>
      <c r="AL70" s="22">
        <f>IFERROR(SUMIFS(T_HA[Muros m3],T_HA[Codigo],T_Info[[#This Row],[Codigo]])/SUMIFS(T_MLD[Muro m2],T_MLD[Codigo],T_Info[[#This Row],[Codigo]]),)</f>
        <v>0</v>
      </c>
      <c r="AM70" s="22">
        <f>IFERROR(SUMIFS(T_HA[Vigas m3],T_HA[Codigo],T_Info[[#This Row],[Codigo]])/(SUMIFS(T_MLD[Viga Lat m2],T_MLD[Codigo],T_Info[[#This Row],[Codigo]])+SUMIFS(T_MLD[Viga Fondo m2],T_MLD[Codigo],T_Info[[#This Row],[Codigo]])),)</f>
        <v>0</v>
      </c>
      <c r="AN70" s="22">
        <f>IFERROR(SUMIFS(T_HA[Losas m3],T_HA[Codigo],T_Info[[#This Row],[Codigo]])/(SUMIFS(T_MLD[Losa Fondo m2],T_MLD[Codigo],T_Info[[#This Row],[Codigo]])+SUMIFS(T_MLD[Rebalse m2],T_MLD[Codigo],T_Info[[#This Row],[Codigo]])),)</f>
        <v>0</v>
      </c>
      <c r="AO70" s="49">
        <f>IFERROR(SUMIFS(T_MLD[Fund Lat m2],T_MLD[Codigo],T_Info[[#This Row],[Codigo]])/T_Info[[#This Row],[Superficie m2]],)</f>
        <v>0</v>
      </c>
      <c r="AP70" s="22">
        <f>IFERROR(SUMIFS(T_MLD[Muro m2],T_MLD[Codigo],T_Info[[#This Row],[Codigo]])/T_Info[[#This Row],[Superficie m2]],)</f>
        <v>0</v>
      </c>
      <c r="AQ70" s="22">
        <f>IFERROR((SUMIFS(T_MLD[Viga Lat m2],T_MLD[Codigo],T_Info[[#This Row],[Codigo]])+SUMIFS(T_MLD[Viga Fondo m2],T_MLD[Codigo],T_Info[[#This Row],[Codigo]]))/T_Info[[#This Row],[Superficie m2]],)</f>
        <v>0</v>
      </c>
      <c r="AR70" s="50">
        <f>IFERROR((SUMIFS(T_MLD[Losa Fondo m2],T_MLD[Codigo],T_Info[[#This Row],[Codigo]])+SUMIFS(T_MLD[Rebalse m2],T_MLD[Codigo],T_Info[[#This Row],[Codigo]]))/T_Info[[#This Row],[Superficie m2]],)</f>
        <v>0</v>
      </c>
    </row>
    <row r="71" spans="1:44" x14ac:dyDescent="0.25">
      <c r="A71" s="52">
        <v>70</v>
      </c>
      <c r="B71" s="34">
        <v>21028</v>
      </c>
      <c r="C71" s="46" t="s">
        <v>64</v>
      </c>
      <c r="D71" s="6" t="s">
        <v>268</v>
      </c>
      <c r="E71" s="45" t="s">
        <v>80</v>
      </c>
      <c r="F71" s="34">
        <v>2</v>
      </c>
      <c r="G71" s="34">
        <v>6</v>
      </c>
      <c r="H71" s="34">
        <v>1</v>
      </c>
      <c r="I71" s="33">
        <v>4733.3999999999996</v>
      </c>
      <c r="J71" s="30"/>
      <c r="K71" s="53" t="s">
        <v>180</v>
      </c>
      <c r="L71" s="46"/>
      <c r="M71" s="47">
        <f>SUMIFS(T_Fe[Total kg],T_Fe[Codigo],T_Info[[#This Row],[Codigo]])</f>
        <v>147634.74600000001</v>
      </c>
      <c r="N71" s="33">
        <f>SUMIFS(T_HA[Total m3],T_HA[Codigo],T_Info[[#This Row],[Codigo]])</f>
        <v>1795.6</v>
      </c>
      <c r="O71" s="48">
        <f>SUMIFS(T_MLD[Total m2],T_MLD[Codigo],T_Info[[#This Row],[Codigo]])</f>
        <v>0</v>
      </c>
      <c r="P71" s="49">
        <f>IFERROR(T_Info[[#This Row],[Fe (kg)]]/T_Info[[#This Row],[HA (m3)]],)</f>
        <v>82.220286255290716</v>
      </c>
      <c r="Q71" s="22">
        <f>IFERROR(T_Info[[#This Row],[Fe (kg)]]/T_Info[[#This Row],[Superficie m2]],)</f>
        <v>31.190000000000005</v>
      </c>
      <c r="R71" s="22">
        <f>IFERROR(T_Info[[#This Row],[HA (m3)]]/T_Info[[#This Row],[Superficie m2]],)</f>
        <v>0.37934676976380616</v>
      </c>
      <c r="S71" s="22">
        <f>IFERROR(T_Info[[#This Row],[HA (m3)]]/T_Info[[#This Row],[MLD (m2)]],)</f>
        <v>0</v>
      </c>
      <c r="T71" s="50">
        <f>IFERROR(T_Info[[#This Row],[MLD (m2)]]/T_Info[[#This Row],[Superficie m2]],)</f>
        <v>0</v>
      </c>
      <c r="U71" s="49">
        <f>IFERROR(SUMIFS(T_Fe[Fund kg],T_Fe[Codigo],T_Info[[#This Row],[Codigo]])/SUMIFS(T_HA[Fund m3],T_HA[Codigo],T_Info[[#This Row],[Codigo]]),)</f>
        <v>67.975500830105162</v>
      </c>
      <c r="V71" s="22">
        <f>IFERROR(SUMIFS(T_Fe[Grua kg],T_Fe[Codigo],T_Info[[#This Row],[Codigo]])/SUMIFS(T_HA[Grua m3],T_HA[Codigo],T_Info[[#This Row],[Codigo]]),)</f>
        <v>0</v>
      </c>
      <c r="W71" s="22">
        <f>IFERROR(SUMIFS(T_Fe[Muros kg],T_Fe[Codigo],T_Info[[#This Row],[Codigo]])/SUMIFS(T_HA[Muros Int m3],T_HA[Codigo],T_Info[[#This Row],[Codigo]]),)</f>
        <v>83.9848674371176</v>
      </c>
      <c r="X71" s="22">
        <f>IFERROR(SUMIFS(T_Fe[Perimetrales kg],T_Fe[Codigo],T_Info[[#This Row],[Codigo]])/SUMIFS(T_HA[Perimetrales m3],T_HA[Codigo],T_Info[[#This Row],[Codigo]]),)</f>
        <v>90.128208744710861</v>
      </c>
      <c r="Y71" s="22">
        <f>IFERROR(SUMIFS(T_Fe[Vigas kg],T_Fe[Codigo],T_Info[[#This Row],[Codigo]])/SUMIFS(T_HA[Vigas m3],T_HA[Codigo],T_Info[[#This Row],[Codigo]]),)</f>
        <v>141.708</v>
      </c>
      <c r="Z71" s="50">
        <f>IFERROR(SUMIFS(T_Fe[Losas kg],T_Fe[Codigo],T_Info[[#This Row],[Codigo]])/SUMIFS(T_HA[Losas m3],T_HA[Codigo],T_Info[[#This Row],[Codigo]]),)</f>
        <v>81.897536656891504</v>
      </c>
      <c r="AA71" s="49">
        <f>SUMIFS(T_Fe[Fund kg/m2],T_Fe[Codigo],T_Info[[#This Row],[Codigo]])</f>
        <v>5.19</v>
      </c>
      <c r="AB71" s="22">
        <f>SUMIFS(T_Fe[Muros kg/m2],T_Fe[Codigo],T_Info[[#This Row],[Codigo]])</f>
        <v>10.44</v>
      </c>
      <c r="AC71" s="22">
        <f>SUMIFS(T_Fe[Perimetrales kg/m2],T_Fe[Codigo],T_Info[[#This Row],[Codigo]])</f>
        <v>1.35</v>
      </c>
      <c r="AD71" s="22">
        <f>SUMIFS(T_Fe[Vigas kg/m2],T_Fe[Codigo],T_Info[[#This Row],[Codigo]])</f>
        <v>2.41</v>
      </c>
      <c r="AE71" s="50">
        <f>SUMIFS(T_Fe[Losas kg/m2],T_Fe[Codigo],T_Info[[#This Row],[Codigo]])</f>
        <v>11.8</v>
      </c>
      <c r="AF71" s="49">
        <f>IFERROR(SUMIFS(T_HA[Fund m3/m2],T_HA[Codigo],T_Info[[#This Row],[Codigo]]),)</f>
        <v>7.6351037309333666E-2</v>
      </c>
      <c r="AG71" s="22">
        <f>IFERROR(SUMIFS(T_HA[Muros Int m3/m2],T_HA[Codigo],T_Info[[#This Row],[Codigo]]),)</f>
        <v>0.12430810833650231</v>
      </c>
      <c r="AH71" s="22">
        <f>IFERROR(SUMIFS(T_HA[Perimetrales m3/m2],T_HA[Codigo],T_Info[[#This Row],[Codigo]]),)</f>
        <v>1.4978662272362364E-2</v>
      </c>
      <c r="AI71" s="22">
        <f>IFERROR(SUMIFS(T_HA[Vigas m3/m2],T_HA[Codigo],T_Info[[#This Row],[Codigo]]),)</f>
        <v>1.7006802721088437E-2</v>
      </c>
      <c r="AJ71" s="50">
        <f>IFERROR(SUMIFS(T_HA[Losas m3/m2],T_HA[Codigo],T_Info[[#This Row],[Codigo]]),)</f>
        <v>0.14408247771158153</v>
      </c>
      <c r="AK71" s="22">
        <f>IFERROR(SUMIFS(T_HA[Fund m3],T_HA[Codigo],T_Info[[#This Row],[Codigo]])/SUMIFS(T_MLD[Fund Lat m2],T_MLD[Codigo],T_Info[[#This Row],[Codigo]]),)</f>
        <v>0</v>
      </c>
      <c r="AL71" s="22">
        <f>IFERROR(SUMIFS(T_HA[Muros m3],T_HA[Codigo],T_Info[[#This Row],[Codigo]])/SUMIFS(T_MLD[Muro m2],T_MLD[Codigo],T_Info[[#This Row],[Codigo]]),)</f>
        <v>0</v>
      </c>
      <c r="AM71" s="22">
        <f>IFERROR(SUMIFS(T_HA[Vigas m3],T_HA[Codigo],T_Info[[#This Row],[Codigo]])/(SUMIFS(T_MLD[Viga Lat m2],T_MLD[Codigo],T_Info[[#This Row],[Codigo]])+SUMIFS(T_MLD[Viga Fondo m2],T_MLD[Codigo],T_Info[[#This Row],[Codigo]])),)</f>
        <v>0</v>
      </c>
      <c r="AN71" s="22">
        <f>IFERROR(SUMIFS(T_HA[Losas m3],T_HA[Codigo],T_Info[[#This Row],[Codigo]])/(SUMIFS(T_MLD[Losa Fondo m2],T_MLD[Codigo],T_Info[[#This Row],[Codigo]])+SUMIFS(T_MLD[Rebalse m2],T_MLD[Codigo],T_Info[[#This Row],[Codigo]])),)</f>
        <v>0</v>
      </c>
      <c r="AO71" s="49">
        <f>IFERROR(SUMIFS(T_MLD[Fund Lat m2],T_MLD[Codigo],T_Info[[#This Row],[Codigo]])/T_Info[[#This Row],[Superficie m2]],)</f>
        <v>0</v>
      </c>
      <c r="AP71" s="22">
        <f>IFERROR(SUMIFS(T_MLD[Muro m2],T_MLD[Codigo],T_Info[[#This Row],[Codigo]])/T_Info[[#This Row],[Superficie m2]],)</f>
        <v>0</v>
      </c>
      <c r="AQ71" s="22">
        <f>IFERROR((SUMIFS(T_MLD[Viga Lat m2],T_MLD[Codigo],T_Info[[#This Row],[Codigo]])+SUMIFS(T_MLD[Viga Fondo m2],T_MLD[Codigo],T_Info[[#This Row],[Codigo]]))/T_Info[[#This Row],[Superficie m2]],)</f>
        <v>0</v>
      </c>
      <c r="AR71" s="50">
        <f>IFERROR((SUMIFS(T_MLD[Losa Fondo m2],T_MLD[Codigo],T_Info[[#This Row],[Codigo]])+SUMIFS(T_MLD[Rebalse m2],T_MLD[Codigo],T_Info[[#This Row],[Codigo]]))/T_Info[[#This Row],[Superficie m2]],)</f>
        <v>0</v>
      </c>
    </row>
    <row r="72" spans="1:44" x14ac:dyDescent="0.25">
      <c r="A72" s="52">
        <v>71</v>
      </c>
      <c r="B72" s="34">
        <v>21029</v>
      </c>
      <c r="C72" s="46" t="s">
        <v>65</v>
      </c>
      <c r="D72" s="6" t="s">
        <v>263</v>
      </c>
      <c r="E72" s="45" t="s">
        <v>80</v>
      </c>
      <c r="F72" s="34">
        <v>2</v>
      </c>
      <c r="G72" s="34">
        <v>8</v>
      </c>
      <c r="H72" s="34">
        <v>2</v>
      </c>
      <c r="I72" s="33">
        <v>12671.32</v>
      </c>
      <c r="J72" s="30"/>
      <c r="K72" s="53"/>
      <c r="L72" s="46"/>
      <c r="M72" s="47">
        <f>SUMIFS(T_Fe[Total kg],T_Fe[Codigo],T_Info[[#This Row],[Codigo]])</f>
        <v>370255.97039999999</v>
      </c>
      <c r="N72" s="33">
        <f>SUMIFS(T_HA[Total m3],T_HA[Codigo],T_Info[[#This Row],[Codigo]])</f>
        <v>4362.9000000000005</v>
      </c>
      <c r="O72" s="48">
        <f>SUMIFS(T_MLD[Total m2],T_MLD[Codigo],T_Info[[#This Row],[Codigo]])</f>
        <v>0</v>
      </c>
      <c r="P72" s="49">
        <f>IFERROR(T_Info[[#This Row],[Fe (kg)]]/T_Info[[#This Row],[HA (m3)]],)</f>
        <v>84.864647459258734</v>
      </c>
      <c r="Q72" s="22">
        <f>IFERROR(T_Info[[#This Row],[Fe (kg)]]/T_Info[[#This Row],[Superficie m2]],)</f>
        <v>29.22</v>
      </c>
      <c r="R72" s="22">
        <f>IFERROR(T_Info[[#This Row],[HA (m3)]]/T_Info[[#This Row],[Superficie m2]],)</f>
        <v>0.34431298396694271</v>
      </c>
      <c r="S72" s="22">
        <f>IFERROR(T_Info[[#This Row],[HA (m3)]]/T_Info[[#This Row],[MLD (m2)]],)</f>
        <v>0</v>
      </c>
      <c r="T72" s="50">
        <f>IFERROR(T_Info[[#This Row],[MLD (m2)]]/T_Info[[#This Row],[Superficie m2]],)</f>
        <v>0</v>
      </c>
      <c r="U72" s="49">
        <f>IFERROR(SUMIFS(T_Fe[Fund kg],T_Fe[Codigo],T_Info[[#This Row],[Codigo]])/SUMIFS(T_HA[Fund m3],T_HA[Codigo],T_Info[[#This Row],[Codigo]]),)</f>
        <v>26.338938996836873</v>
      </c>
      <c r="V72" s="22">
        <f>IFERROR(SUMIFS(T_Fe[Grua kg],T_Fe[Codigo],T_Info[[#This Row],[Codigo]])/SUMIFS(T_HA[Grua m3],T_HA[Codigo],T_Info[[#This Row],[Codigo]]),)</f>
        <v>0</v>
      </c>
      <c r="W72" s="22">
        <f>IFERROR(SUMIFS(T_Fe[Muros kg],T_Fe[Codigo],T_Info[[#This Row],[Codigo]])/SUMIFS(T_HA[Muros Int m3],T_HA[Codigo],T_Info[[#This Row],[Codigo]]),)</f>
        <v>77.664541891358681</v>
      </c>
      <c r="X72" s="22">
        <f>IFERROR(SUMIFS(T_Fe[Perimetrales kg],T_Fe[Codigo],T_Info[[#This Row],[Codigo]])/SUMIFS(T_HA[Perimetrales m3],T_HA[Codigo],T_Info[[#This Row],[Codigo]]),)</f>
        <v>105.94282948294828</v>
      </c>
      <c r="Y72" s="22">
        <f>IFERROR(SUMIFS(T_Fe[Vigas kg],T_Fe[Codigo],T_Info[[#This Row],[Codigo]])/SUMIFS(T_HA[Vigas m3],T_HA[Codigo],T_Info[[#This Row],[Codigo]]),)</f>
        <v>150.01985623678647</v>
      </c>
      <c r="Z72" s="50">
        <f>IFERROR(SUMIFS(T_Fe[Losas kg],T_Fe[Codigo],T_Info[[#This Row],[Codigo]])/SUMIFS(T_HA[Losas m3],T_HA[Codigo],T_Info[[#This Row],[Codigo]]),)</f>
        <v>84.505708996061983</v>
      </c>
      <c r="AA72" s="49">
        <f>SUMIFS(T_Fe[Fund kg/m2],T_Fe[Codigo],T_Info[[#This Row],[Codigo]])</f>
        <v>0.46</v>
      </c>
      <c r="AB72" s="22">
        <f>SUMIFS(T_Fe[Muros kg/m2],T_Fe[Codigo],T_Info[[#This Row],[Codigo]])</f>
        <v>9.32</v>
      </c>
      <c r="AC72" s="22">
        <f>SUMIFS(T_Fe[Perimetrales kg/m2],T_Fe[Codigo],T_Info[[#This Row],[Codigo]])</f>
        <v>3.04</v>
      </c>
      <c r="AD72" s="22">
        <f>SUMIFS(T_Fe[Vigas kg/m2],T_Fe[Codigo],T_Info[[#This Row],[Codigo]])</f>
        <v>3.36</v>
      </c>
      <c r="AE72" s="50">
        <f>SUMIFS(T_Fe[Losas kg/m2],T_Fe[Codigo],T_Info[[#This Row],[Codigo]])</f>
        <v>13.040000000000001</v>
      </c>
      <c r="AF72" s="49">
        <f>IFERROR(SUMIFS(T_HA[Fund m3/m2],T_HA[Codigo],T_Info[[#This Row],[Codigo]]),)</f>
        <v>1.7464636675579182E-2</v>
      </c>
      <c r="AG72" s="22">
        <f>IFERROR(SUMIFS(T_HA[Muros Int m3/m2],T_HA[Codigo],T_Info[[#This Row],[Codigo]]),)</f>
        <v>0.12000328300445415</v>
      </c>
      <c r="AH72" s="22">
        <f>IFERROR(SUMIFS(T_HA[Perimetrales m3/m2],T_HA[Codigo],T_Info[[#This Row],[Codigo]]),)</f>
        <v>2.8694721623319437E-2</v>
      </c>
      <c r="AI72" s="22">
        <f>IFERROR(SUMIFS(T_HA[Vigas m3/m2],T_HA[Codigo],T_Info[[#This Row],[Codigo]]),)</f>
        <v>2.2397035194439096E-2</v>
      </c>
      <c r="AJ72" s="50">
        <f>IFERROR(SUMIFS(T_HA[Losas m3/m2],T_HA[Codigo],T_Info[[#This Row],[Codigo]]),)</f>
        <v>0.15430910118282862</v>
      </c>
      <c r="AK72" s="22">
        <f>IFERROR(SUMIFS(T_HA[Fund m3],T_HA[Codigo],T_Info[[#This Row],[Codigo]])/SUMIFS(T_MLD[Fund Lat m2],T_MLD[Codigo],T_Info[[#This Row],[Codigo]]),)</f>
        <v>0</v>
      </c>
      <c r="AL72" s="22">
        <f>IFERROR(SUMIFS(T_HA[Muros m3],T_HA[Codigo],T_Info[[#This Row],[Codigo]])/SUMIFS(T_MLD[Muro m2],T_MLD[Codigo],T_Info[[#This Row],[Codigo]]),)</f>
        <v>0</v>
      </c>
      <c r="AM72" s="22">
        <f>IFERROR(SUMIFS(T_HA[Vigas m3],T_HA[Codigo],T_Info[[#This Row],[Codigo]])/(SUMIFS(T_MLD[Viga Lat m2],T_MLD[Codigo],T_Info[[#This Row],[Codigo]])+SUMIFS(T_MLD[Viga Fondo m2],T_MLD[Codigo],T_Info[[#This Row],[Codigo]])),)</f>
        <v>0</v>
      </c>
      <c r="AN72" s="22">
        <f>IFERROR(SUMIFS(T_HA[Losas m3],T_HA[Codigo],T_Info[[#This Row],[Codigo]])/(SUMIFS(T_MLD[Losa Fondo m2],T_MLD[Codigo],T_Info[[#This Row],[Codigo]])+SUMIFS(T_MLD[Rebalse m2],T_MLD[Codigo],T_Info[[#This Row],[Codigo]])),)</f>
        <v>0</v>
      </c>
      <c r="AO72" s="49">
        <f>IFERROR(SUMIFS(T_MLD[Fund Lat m2],T_MLD[Codigo],T_Info[[#This Row],[Codigo]])/T_Info[[#This Row],[Superficie m2]],)</f>
        <v>0</v>
      </c>
      <c r="AP72" s="22">
        <f>IFERROR(SUMIFS(T_MLD[Muro m2],T_MLD[Codigo],T_Info[[#This Row],[Codigo]])/T_Info[[#This Row],[Superficie m2]],)</f>
        <v>0</v>
      </c>
      <c r="AQ72" s="22">
        <f>IFERROR((SUMIFS(T_MLD[Viga Lat m2],T_MLD[Codigo],T_Info[[#This Row],[Codigo]])+SUMIFS(T_MLD[Viga Fondo m2],T_MLD[Codigo],T_Info[[#This Row],[Codigo]]))/T_Info[[#This Row],[Superficie m2]],)</f>
        <v>0</v>
      </c>
      <c r="AR72" s="50">
        <f>IFERROR((SUMIFS(T_MLD[Losa Fondo m2],T_MLD[Codigo],T_Info[[#This Row],[Codigo]])+SUMIFS(T_MLD[Rebalse m2],T_MLD[Codigo],T_Info[[#This Row],[Codigo]]))/T_Info[[#This Row],[Superficie m2]],)</f>
        <v>0</v>
      </c>
    </row>
    <row r="73" spans="1:44" x14ac:dyDescent="0.25">
      <c r="A73" s="52">
        <v>72</v>
      </c>
      <c r="B73" s="34">
        <v>21030</v>
      </c>
      <c r="C73" s="46" t="s">
        <v>66</v>
      </c>
      <c r="D73" s="6" t="s">
        <v>263</v>
      </c>
      <c r="E73" s="45" t="s">
        <v>80</v>
      </c>
      <c r="F73" s="34">
        <v>2</v>
      </c>
      <c r="G73" s="34">
        <v>8</v>
      </c>
      <c r="H73" s="34">
        <v>1</v>
      </c>
      <c r="I73" s="33">
        <v>8627.34</v>
      </c>
      <c r="J73" s="30"/>
      <c r="K73" s="53"/>
      <c r="L73" s="46"/>
      <c r="M73" s="47">
        <f>SUMIFS(T_Fe[Total kg],T_Fe[Codigo],T_Info[[#This Row],[Codigo]])</f>
        <v>253298.70240000001</v>
      </c>
      <c r="N73" s="33">
        <f>SUMIFS(T_HA[Total m3],T_HA[Codigo],T_Info[[#This Row],[Codigo]])</f>
        <v>3064.3999999999996</v>
      </c>
      <c r="O73" s="48">
        <f>SUMIFS(T_MLD[Total m2],T_MLD[Codigo],T_Info[[#This Row],[Codigo]])</f>
        <v>0</v>
      </c>
      <c r="P73" s="49">
        <f>IFERROR(T_Info[[#This Row],[Fe (kg)]]/T_Info[[#This Row],[HA (m3)]],)</f>
        <v>82.658498368359233</v>
      </c>
      <c r="Q73" s="22">
        <f>IFERROR(T_Info[[#This Row],[Fe (kg)]]/T_Info[[#This Row],[Superficie m2]],)</f>
        <v>29.36</v>
      </c>
      <c r="R73" s="22">
        <f>IFERROR(T_Info[[#This Row],[HA (m3)]]/T_Info[[#This Row],[Superficie m2]],)</f>
        <v>0.35519638729898201</v>
      </c>
      <c r="S73" s="22">
        <f>IFERROR(T_Info[[#This Row],[HA (m3)]]/T_Info[[#This Row],[MLD (m2)]],)</f>
        <v>0</v>
      </c>
      <c r="T73" s="50">
        <f>IFERROR(T_Info[[#This Row],[MLD (m2)]]/T_Info[[#This Row],[Superficie m2]],)</f>
        <v>0</v>
      </c>
      <c r="U73" s="49">
        <f>IFERROR(SUMIFS(T_Fe[Fund kg],T_Fe[Codigo],T_Info[[#This Row],[Codigo]])/SUMIFS(T_HA[Fund m3],T_HA[Codigo],T_Info[[#This Row],[Codigo]]),)</f>
        <v>16.841302573203194</v>
      </c>
      <c r="V73" s="22">
        <f>IFERROR(SUMIFS(T_Fe[Grua kg],T_Fe[Codigo],T_Info[[#This Row],[Codigo]])/SUMIFS(T_HA[Grua m3],T_HA[Codigo],T_Info[[#This Row],[Codigo]]),)</f>
        <v>0</v>
      </c>
      <c r="W73" s="22">
        <f>IFERROR(SUMIFS(T_Fe[Muros kg],T_Fe[Codigo],T_Info[[#This Row],[Codigo]])/SUMIFS(T_HA[Muros Int m3],T_HA[Codigo],T_Info[[#This Row],[Codigo]]),)</f>
        <v>78.256280260432092</v>
      </c>
      <c r="X73" s="22">
        <f>IFERROR(SUMIFS(T_Fe[Perimetrales kg],T_Fe[Codigo],T_Info[[#This Row],[Codigo]])/SUMIFS(T_HA[Perimetrales m3],T_HA[Codigo],T_Info[[#This Row],[Codigo]]),)</f>
        <v>99.605168738898769</v>
      </c>
      <c r="Y73" s="22">
        <f>IFERROR(SUMIFS(T_Fe[Vigas kg],T_Fe[Codigo],T_Info[[#This Row],[Codigo]])/SUMIFS(T_HA[Vigas m3],T_HA[Codigo],T_Info[[#This Row],[Codigo]]),)</f>
        <v>151.03418217054264</v>
      </c>
      <c r="Z73" s="50">
        <f>IFERROR(SUMIFS(T_Fe[Losas kg],T_Fe[Codigo],T_Info[[#This Row],[Codigo]])/SUMIFS(T_HA[Losas m3],T_HA[Codigo],T_Info[[#This Row],[Codigo]]),)</f>
        <v>84.365827672669255</v>
      </c>
      <c r="AA73" s="49">
        <f>SUMIFS(T_Fe[Fund kg/m2],T_Fe[Codigo],T_Info[[#This Row],[Codigo]])</f>
        <v>0.22</v>
      </c>
      <c r="AB73" s="22">
        <f>SUMIFS(T_Fe[Muros kg/m2],T_Fe[Codigo],T_Info[[#This Row],[Codigo]])</f>
        <v>12.26</v>
      </c>
      <c r="AC73" s="22">
        <f>SUMIFS(T_Fe[Perimetrales kg/m2],T_Fe[Codigo],T_Info[[#This Row],[Codigo]])</f>
        <v>1.3</v>
      </c>
      <c r="AD73" s="22">
        <f>SUMIFS(T_Fe[Vigas kg/m2],T_Fe[Codigo],T_Info[[#This Row],[Codigo]])</f>
        <v>2.71</v>
      </c>
      <c r="AE73" s="50">
        <f>SUMIFS(T_Fe[Losas kg/m2],T_Fe[Codigo],T_Info[[#This Row],[Codigo]])</f>
        <v>12.87</v>
      </c>
      <c r="AF73" s="49">
        <f>IFERROR(SUMIFS(T_HA[Fund m3/m2],T_HA[Codigo],T_Info[[#This Row],[Codigo]]),)</f>
        <v>1.3063122584713248E-2</v>
      </c>
      <c r="AG73" s="22">
        <f>IFERROR(SUMIFS(T_HA[Muros Int m3/m2],T_HA[Codigo],T_Info[[#This Row],[Codigo]]),)</f>
        <v>0.15666474255100643</v>
      </c>
      <c r="AH73" s="22">
        <f>IFERROR(SUMIFS(T_HA[Perimetrales m3/m2],T_HA[Codigo],T_Info[[#This Row],[Codigo]]),)</f>
        <v>1.3051531526519181E-2</v>
      </c>
      <c r="AI73" s="22">
        <f>IFERROR(SUMIFS(T_HA[Vigas m3/m2],T_HA[Codigo],T_Info[[#This Row],[Codigo]]),)</f>
        <v>1.7942958084415359E-2</v>
      </c>
      <c r="AJ73" s="50">
        <f>IFERROR(SUMIFS(T_HA[Losas m3/m2],T_HA[Codigo],T_Info[[#This Row],[Codigo]]),)</f>
        <v>0.15254991689211272</v>
      </c>
      <c r="AK73" s="22">
        <f>IFERROR(SUMIFS(T_HA[Fund m3],T_HA[Codigo],T_Info[[#This Row],[Codigo]])/SUMIFS(T_MLD[Fund Lat m2],T_MLD[Codigo],T_Info[[#This Row],[Codigo]]),)</f>
        <v>0</v>
      </c>
      <c r="AL73" s="22">
        <f>IFERROR(SUMIFS(T_HA[Muros m3],T_HA[Codigo],T_Info[[#This Row],[Codigo]])/SUMIFS(T_MLD[Muro m2],T_MLD[Codigo],T_Info[[#This Row],[Codigo]]),)</f>
        <v>0</v>
      </c>
      <c r="AM73" s="22">
        <f>IFERROR(SUMIFS(T_HA[Vigas m3],T_HA[Codigo],T_Info[[#This Row],[Codigo]])/(SUMIFS(T_MLD[Viga Lat m2],T_MLD[Codigo],T_Info[[#This Row],[Codigo]])+SUMIFS(T_MLD[Viga Fondo m2],T_MLD[Codigo],T_Info[[#This Row],[Codigo]])),)</f>
        <v>0</v>
      </c>
      <c r="AN73" s="22">
        <f>IFERROR(SUMIFS(T_HA[Losas m3],T_HA[Codigo],T_Info[[#This Row],[Codigo]])/(SUMIFS(T_MLD[Losa Fondo m2],T_MLD[Codigo],T_Info[[#This Row],[Codigo]])+SUMIFS(T_MLD[Rebalse m2],T_MLD[Codigo],T_Info[[#This Row],[Codigo]])),)</f>
        <v>0</v>
      </c>
      <c r="AO73" s="49">
        <f>IFERROR(SUMIFS(T_MLD[Fund Lat m2],T_MLD[Codigo],T_Info[[#This Row],[Codigo]])/T_Info[[#This Row],[Superficie m2]],)</f>
        <v>0</v>
      </c>
      <c r="AP73" s="22">
        <f>IFERROR(SUMIFS(T_MLD[Muro m2],T_MLD[Codigo],T_Info[[#This Row],[Codigo]])/T_Info[[#This Row],[Superficie m2]],)</f>
        <v>0</v>
      </c>
      <c r="AQ73" s="22">
        <f>IFERROR((SUMIFS(T_MLD[Viga Lat m2],T_MLD[Codigo],T_Info[[#This Row],[Codigo]])+SUMIFS(T_MLD[Viga Fondo m2],T_MLD[Codigo],T_Info[[#This Row],[Codigo]]))/T_Info[[#This Row],[Superficie m2]],)</f>
        <v>0</v>
      </c>
      <c r="AR73" s="50">
        <f>IFERROR((SUMIFS(T_MLD[Losa Fondo m2],T_MLD[Codigo],T_Info[[#This Row],[Codigo]])+SUMIFS(T_MLD[Rebalse m2],T_MLD[Codigo],T_Info[[#This Row],[Codigo]]))/T_Info[[#This Row],[Superficie m2]],)</f>
        <v>0</v>
      </c>
    </row>
    <row r="74" spans="1:44" x14ac:dyDescent="0.25">
      <c r="A74" s="52">
        <v>73</v>
      </c>
      <c r="B74" s="34">
        <v>20067</v>
      </c>
      <c r="C74" s="46" t="s">
        <v>67</v>
      </c>
      <c r="D74" s="6" t="s">
        <v>254</v>
      </c>
      <c r="E74" s="45" t="s">
        <v>80</v>
      </c>
      <c r="F74" s="34">
        <v>2</v>
      </c>
      <c r="G74" s="34">
        <v>13</v>
      </c>
      <c r="H74" s="34">
        <v>5</v>
      </c>
      <c r="I74" s="33">
        <v>14804.98</v>
      </c>
      <c r="J74" s="30"/>
      <c r="K74" s="53"/>
      <c r="L74" s="46"/>
      <c r="M74" s="47">
        <f>SUMIFS(T_Fe[Total kg],T_Fe[Codigo],T_Info[[#This Row],[Codigo]])</f>
        <v>452292.13899999997</v>
      </c>
      <c r="N74" s="33">
        <f>SUMIFS(T_HA[Total m3],T_HA[Codigo],T_Info[[#This Row],[Codigo]])</f>
        <v>4839.4000000000005</v>
      </c>
      <c r="O74" s="48">
        <f>SUMIFS(T_MLD[Total m2],T_MLD[Codigo],T_Info[[#This Row],[Codigo]])</f>
        <v>0</v>
      </c>
      <c r="P74" s="49">
        <f>IFERROR(T_Info[[#This Row],[Fe (kg)]]/T_Info[[#This Row],[HA (m3)]],)</f>
        <v>93.460375046493354</v>
      </c>
      <c r="Q74" s="22">
        <f>IFERROR(T_Info[[#This Row],[Fe (kg)]]/T_Info[[#This Row],[Superficie m2]],)</f>
        <v>30.549999999999997</v>
      </c>
      <c r="R74" s="22">
        <f>IFERROR(T_Info[[#This Row],[HA (m3)]]/T_Info[[#This Row],[Superficie m2]],)</f>
        <v>0.32687649696250859</v>
      </c>
      <c r="S74" s="22">
        <f>IFERROR(T_Info[[#This Row],[HA (m3)]]/T_Info[[#This Row],[MLD (m2)]],)</f>
        <v>0</v>
      </c>
      <c r="T74" s="50">
        <f>IFERROR(T_Info[[#This Row],[MLD (m2)]]/T_Info[[#This Row],[Superficie m2]],)</f>
        <v>0</v>
      </c>
      <c r="U74" s="49">
        <f>IFERROR(SUMIFS(T_Fe[Fund kg],T_Fe[Codigo],T_Info[[#This Row],[Codigo]])/SUMIFS(T_HA[Fund m3],T_HA[Codigo],T_Info[[#This Row],[Codigo]]),)</f>
        <v>29.156415754923408</v>
      </c>
      <c r="V74" s="22">
        <f>IFERROR(SUMIFS(T_Fe[Grua kg],T_Fe[Codigo],T_Info[[#This Row],[Codigo]])/SUMIFS(T_HA[Grua m3],T_HA[Codigo],T_Info[[#This Row],[Codigo]]),)</f>
        <v>0</v>
      </c>
      <c r="W74" s="22">
        <f>IFERROR(SUMIFS(T_Fe[Muros kg],T_Fe[Codigo],T_Info[[#This Row],[Codigo]])/SUMIFS(T_HA[Muros Int m3],T_HA[Codigo],T_Info[[#This Row],[Codigo]]),)</f>
        <v>103.22137954591119</v>
      </c>
      <c r="X74" s="22">
        <f>IFERROR(SUMIFS(T_Fe[Perimetrales kg],T_Fe[Codigo],T_Info[[#This Row],[Codigo]])/SUMIFS(T_HA[Perimetrales m3],T_HA[Codigo],T_Info[[#This Row],[Codigo]]),)</f>
        <v>126.1896702539819</v>
      </c>
      <c r="Y74" s="22">
        <f>IFERROR(SUMIFS(T_Fe[Vigas kg],T_Fe[Codigo],T_Info[[#This Row],[Codigo]])/SUMIFS(T_HA[Vigas m3],T_HA[Codigo],T_Info[[#This Row],[Codigo]]),)</f>
        <v>168.86120260130062</v>
      </c>
      <c r="Z74" s="50">
        <f>IFERROR(SUMIFS(T_Fe[Losas kg],T_Fe[Codigo],T_Info[[#This Row],[Codigo]])/SUMIFS(T_HA[Losas m3],T_HA[Codigo],T_Info[[#This Row],[Codigo]]),)</f>
        <v>89.676960524212873</v>
      </c>
      <c r="AA74" s="49">
        <f>SUMIFS(T_Fe[Fund kg/m2],T_Fe[Codigo],T_Info[[#This Row],[Codigo]])</f>
        <v>0.72</v>
      </c>
      <c r="AB74" s="22">
        <f>SUMIFS(T_Fe[Muros kg/m2],T_Fe[Codigo],T_Info[[#This Row],[Codigo]])</f>
        <v>10.41</v>
      </c>
      <c r="AC74" s="22">
        <f>SUMIFS(T_Fe[Perimetrales kg/m2],T_Fe[Codigo],T_Info[[#This Row],[Codigo]])</f>
        <v>1.98</v>
      </c>
      <c r="AD74" s="22">
        <f>SUMIFS(T_Fe[Vigas kg/m2],T_Fe[Codigo],T_Info[[#This Row],[Codigo]])</f>
        <v>2.2799999999999998</v>
      </c>
      <c r="AE74" s="50">
        <f>SUMIFS(T_Fe[Losas kg/m2],T_Fe[Codigo],T_Info[[#This Row],[Codigo]])</f>
        <v>15.16</v>
      </c>
      <c r="AF74" s="49">
        <f>IFERROR(SUMIFS(T_HA[Fund m3/m2],T_HA[Codigo],T_Info[[#This Row],[Codigo]]),)</f>
        <v>2.4694393373040694E-2</v>
      </c>
      <c r="AG74" s="22">
        <f>IFERROR(SUMIFS(T_HA[Muros Int m3/m2],T_HA[Codigo],T_Info[[#This Row],[Codigo]]),)</f>
        <v>0.10085120006916591</v>
      </c>
      <c r="AH74" s="22">
        <f>IFERROR(SUMIFS(T_HA[Perimetrales m3/m2],T_HA[Codigo],T_Info[[#This Row],[Codigo]]),)</f>
        <v>1.5690666248789259E-2</v>
      </c>
      <c r="AI74" s="22">
        <f>IFERROR(SUMIFS(T_HA[Vigas m3/m2],T_HA[Codigo],T_Info[[#This Row],[Codigo]]),)</f>
        <v>1.3502213444395063E-2</v>
      </c>
      <c r="AJ74" s="50">
        <f>IFERROR(SUMIFS(T_HA[Losas m3/m2],T_HA[Codigo],T_Info[[#This Row],[Codigo]]),)</f>
        <v>0.16905122465548755</v>
      </c>
      <c r="AK74" s="22">
        <f>IFERROR(SUMIFS(T_HA[Fund m3],T_HA[Codigo],T_Info[[#This Row],[Codigo]])/SUMIFS(T_MLD[Fund Lat m2],T_MLD[Codigo],T_Info[[#This Row],[Codigo]]),)</f>
        <v>0</v>
      </c>
      <c r="AL74" s="22">
        <f>IFERROR(SUMIFS(T_HA[Muros m3],T_HA[Codigo],T_Info[[#This Row],[Codigo]])/SUMIFS(T_MLD[Muro m2],T_MLD[Codigo],T_Info[[#This Row],[Codigo]]),)</f>
        <v>0</v>
      </c>
      <c r="AM74" s="22">
        <f>IFERROR(SUMIFS(T_HA[Vigas m3],T_HA[Codigo],T_Info[[#This Row],[Codigo]])/(SUMIFS(T_MLD[Viga Lat m2],T_MLD[Codigo],T_Info[[#This Row],[Codigo]])+SUMIFS(T_MLD[Viga Fondo m2],T_MLD[Codigo],T_Info[[#This Row],[Codigo]])),)</f>
        <v>0</v>
      </c>
      <c r="AN74" s="22">
        <f>IFERROR(SUMIFS(T_HA[Losas m3],T_HA[Codigo],T_Info[[#This Row],[Codigo]])/(SUMIFS(T_MLD[Losa Fondo m2],T_MLD[Codigo],T_Info[[#This Row],[Codigo]])+SUMIFS(T_MLD[Rebalse m2],T_MLD[Codigo],T_Info[[#This Row],[Codigo]])),)</f>
        <v>0</v>
      </c>
      <c r="AO74" s="49">
        <f>IFERROR(SUMIFS(T_MLD[Fund Lat m2],T_MLD[Codigo],T_Info[[#This Row],[Codigo]])/T_Info[[#This Row],[Superficie m2]],)</f>
        <v>0</v>
      </c>
      <c r="AP74" s="22">
        <f>IFERROR(SUMIFS(T_MLD[Muro m2],T_MLD[Codigo],T_Info[[#This Row],[Codigo]])/T_Info[[#This Row],[Superficie m2]],)</f>
        <v>0</v>
      </c>
      <c r="AQ74" s="22">
        <f>IFERROR((SUMIFS(T_MLD[Viga Lat m2],T_MLD[Codigo],T_Info[[#This Row],[Codigo]])+SUMIFS(T_MLD[Viga Fondo m2],T_MLD[Codigo],T_Info[[#This Row],[Codigo]]))/T_Info[[#This Row],[Superficie m2]],)</f>
        <v>0</v>
      </c>
      <c r="AR74" s="50">
        <f>IFERROR((SUMIFS(T_MLD[Losa Fondo m2],T_MLD[Codigo],T_Info[[#This Row],[Codigo]])+SUMIFS(T_MLD[Rebalse m2],T_MLD[Codigo],T_Info[[#This Row],[Codigo]]))/T_Info[[#This Row],[Superficie m2]],)</f>
        <v>0</v>
      </c>
    </row>
    <row r="75" spans="1:44" x14ac:dyDescent="0.25">
      <c r="A75" s="52">
        <v>74</v>
      </c>
      <c r="B75" s="34">
        <v>21042</v>
      </c>
      <c r="C75" s="46" t="s">
        <v>68</v>
      </c>
      <c r="D75" s="6" t="s">
        <v>254</v>
      </c>
      <c r="E75" s="45" t="s">
        <v>80</v>
      </c>
      <c r="F75" s="34">
        <v>2</v>
      </c>
      <c r="G75" s="34">
        <v>10</v>
      </c>
      <c r="H75" s="34">
        <v>3</v>
      </c>
      <c r="I75" s="33">
        <v>19804.080000000002</v>
      </c>
      <c r="J75" s="30"/>
      <c r="K75" s="53"/>
      <c r="L75" s="46"/>
      <c r="M75" s="47">
        <f>SUMIFS(T_Fe[Total kg],T_Fe[Codigo],T_Info[[#This Row],[Codigo]])</f>
        <v>609371.54160000011</v>
      </c>
      <c r="N75" s="33">
        <f>SUMIFS(T_HA[Total m3],T_HA[Codigo],T_Info[[#This Row],[Codigo]])</f>
        <v>6868.4</v>
      </c>
      <c r="O75" s="48">
        <f>SUMIFS(T_MLD[Total m2],T_MLD[Codigo],T_Info[[#This Row],[Codigo]])</f>
        <v>0</v>
      </c>
      <c r="P75" s="49">
        <f>IFERROR(T_Info[[#This Row],[Fe (kg)]]/T_Info[[#This Row],[HA (m3)]],)</f>
        <v>88.721032787839988</v>
      </c>
      <c r="Q75" s="22">
        <f>IFERROR(T_Info[[#This Row],[Fe (kg)]]/T_Info[[#This Row],[Superficie m2]],)</f>
        <v>30.770000000000003</v>
      </c>
      <c r="R75" s="22">
        <f>IFERROR(T_Info[[#This Row],[HA (m3)]]/T_Info[[#This Row],[Superficie m2]],)</f>
        <v>0.34681742348041411</v>
      </c>
      <c r="S75" s="22">
        <f>IFERROR(T_Info[[#This Row],[HA (m3)]]/T_Info[[#This Row],[MLD (m2)]],)</f>
        <v>0</v>
      </c>
      <c r="T75" s="50">
        <f>IFERROR(T_Info[[#This Row],[MLD (m2)]]/T_Info[[#This Row],[Superficie m2]],)</f>
        <v>0</v>
      </c>
      <c r="U75" s="49">
        <f>IFERROR(SUMIFS(T_Fe[Fund kg],T_Fe[Codigo],T_Info[[#This Row],[Codigo]])/SUMIFS(T_HA[Fund m3],T_HA[Codigo],T_Info[[#This Row],[Codigo]]),)</f>
        <v>15.639944718657455</v>
      </c>
      <c r="V75" s="22">
        <f>IFERROR(SUMIFS(T_Fe[Grua kg],T_Fe[Codigo],T_Info[[#This Row],[Codigo]])/SUMIFS(T_HA[Grua m3],T_HA[Codigo],T_Info[[#This Row],[Codigo]]),)</f>
        <v>0</v>
      </c>
      <c r="W75" s="22">
        <f>IFERROR(SUMIFS(T_Fe[Muros kg],T_Fe[Codigo],T_Info[[#This Row],[Codigo]])/SUMIFS(T_HA[Muros Int m3],T_HA[Codigo],T_Info[[#This Row],[Codigo]]),)</f>
        <v>103.26086674074708</v>
      </c>
      <c r="X75" s="22">
        <f>IFERROR(SUMIFS(T_Fe[Perimetrales kg],T_Fe[Codigo],T_Info[[#This Row],[Codigo]])/SUMIFS(T_HA[Perimetrales m3],T_HA[Codigo],T_Info[[#This Row],[Codigo]]),)</f>
        <v>87.85633529411767</v>
      </c>
      <c r="Y75" s="22">
        <f>IFERROR(SUMIFS(T_Fe[Vigas kg],T_Fe[Codigo],T_Info[[#This Row],[Codigo]])/SUMIFS(T_HA[Vigas m3],T_HA[Codigo],T_Info[[#This Row],[Codigo]]),)</f>
        <v>157.00769620253166</v>
      </c>
      <c r="Z75" s="50">
        <f>IFERROR(SUMIFS(T_Fe[Losas kg],T_Fe[Codigo],T_Info[[#This Row],[Codigo]])/SUMIFS(T_HA[Losas m3],T_HA[Codigo],T_Info[[#This Row],[Codigo]]),)</f>
        <v>83.316985278276491</v>
      </c>
      <c r="AA75" s="49">
        <f>SUMIFS(T_Fe[Fund kg/m2],T_Fe[Codigo],T_Info[[#This Row],[Codigo]])</f>
        <v>0.32</v>
      </c>
      <c r="AB75" s="22">
        <f>SUMIFS(T_Fe[Muros kg/m2],T_Fe[Codigo],T_Info[[#This Row],[Codigo]])</f>
        <v>12.2</v>
      </c>
      <c r="AC75" s="22">
        <f>SUMIFS(T_Fe[Perimetrales kg/m2],T_Fe[Codigo],T_Info[[#This Row],[Codigo]])</f>
        <v>1.8100000000000003</v>
      </c>
      <c r="AD75" s="22">
        <f>SUMIFS(T_Fe[Vigas kg/m2],T_Fe[Codigo],T_Info[[#This Row],[Codigo]])</f>
        <v>2.38</v>
      </c>
      <c r="AE75" s="50">
        <f>SUMIFS(T_Fe[Losas kg/m2],T_Fe[Codigo],T_Info[[#This Row],[Codigo]])</f>
        <v>14.06</v>
      </c>
      <c r="AF75" s="49">
        <f>IFERROR(SUMIFS(T_HA[Fund m3/m2],T_HA[Codigo],T_Info[[#This Row],[Codigo]]),)</f>
        <v>2.0460430375962929E-2</v>
      </c>
      <c r="AG75" s="22">
        <f>IFERROR(SUMIFS(T_HA[Muros Int m3/m2],T_HA[Codigo],T_Info[[#This Row],[Codigo]]),)</f>
        <v>0.11814737165270994</v>
      </c>
      <c r="AH75" s="22">
        <f>IFERROR(SUMIFS(T_HA[Perimetrales m3/m2],T_HA[Codigo],T_Info[[#This Row],[Codigo]]),)</f>
        <v>2.0601815383496733E-2</v>
      </c>
      <c r="AI75" s="22">
        <f>IFERROR(SUMIFS(T_HA[Vigas m3/m2],T_HA[Codigo],T_Info[[#This Row],[Codigo]]),)</f>
        <v>1.5158492593445389E-2</v>
      </c>
      <c r="AJ75" s="50">
        <f>IFERROR(SUMIFS(T_HA[Losas m3/m2],T_HA[Codigo],T_Info[[#This Row],[Codigo]]),)</f>
        <v>0.16875310542070118</v>
      </c>
      <c r="AK75" s="22">
        <f>IFERROR(SUMIFS(T_HA[Fund m3],T_HA[Codigo],T_Info[[#This Row],[Codigo]])/SUMIFS(T_MLD[Fund Lat m2],T_MLD[Codigo],T_Info[[#This Row],[Codigo]]),)</f>
        <v>0</v>
      </c>
      <c r="AL75" s="22">
        <f>IFERROR(SUMIFS(T_HA[Muros m3],T_HA[Codigo],T_Info[[#This Row],[Codigo]])/SUMIFS(T_MLD[Muro m2],T_MLD[Codigo],T_Info[[#This Row],[Codigo]]),)</f>
        <v>0</v>
      </c>
      <c r="AM75" s="22">
        <f>IFERROR(SUMIFS(T_HA[Vigas m3],T_HA[Codigo],T_Info[[#This Row],[Codigo]])/(SUMIFS(T_MLD[Viga Lat m2],T_MLD[Codigo],T_Info[[#This Row],[Codigo]])+SUMIFS(T_MLD[Viga Fondo m2],T_MLD[Codigo],T_Info[[#This Row],[Codigo]])),)</f>
        <v>0</v>
      </c>
      <c r="AN75" s="22">
        <f>IFERROR(SUMIFS(T_HA[Losas m3],T_HA[Codigo],T_Info[[#This Row],[Codigo]])/(SUMIFS(T_MLD[Losa Fondo m2],T_MLD[Codigo],T_Info[[#This Row],[Codigo]])+SUMIFS(T_MLD[Rebalse m2],T_MLD[Codigo],T_Info[[#This Row],[Codigo]])),)</f>
        <v>0</v>
      </c>
      <c r="AO75" s="49">
        <f>IFERROR(SUMIFS(T_MLD[Fund Lat m2],T_MLD[Codigo],T_Info[[#This Row],[Codigo]])/T_Info[[#This Row],[Superficie m2]],)</f>
        <v>0</v>
      </c>
      <c r="AP75" s="22">
        <f>IFERROR(SUMIFS(T_MLD[Muro m2],T_MLD[Codigo],T_Info[[#This Row],[Codigo]])/T_Info[[#This Row],[Superficie m2]],)</f>
        <v>0</v>
      </c>
      <c r="AQ75" s="22">
        <f>IFERROR((SUMIFS(T_MLD[Viga Lat m2],T_MLD[Codigo],T_Info[[#This Row],[Codigo]])+SUMIFS(T_MLD[Viga Fondo m2],T_MLD[Codigo],T_Info[[#This Row],[Codigo]]))/T_Info[[#This Row],[Superficie m2]],)</f>
        <v>0</v>
      </c>
      <c r="AR75" s="50">
        <f>IFERROR((SUMIFS(T_MLD[Losa Fondo m2],T_MLD[Codigo],T_Info[[#This Row],[Codigo]])+SUMIFS(T_MLD[Rebalse m2],T_MLD[Codigo],T_Info[[#This Row],[Codigo]]))/T_Info[[#This Row],[Superficie m2]],)</f>
        <v>0</v>
      </c>
    </row>
    <row r="76" spans="1:44" x14ac:dyDescent="0.25">
      <c r="A76" s="110">
        <v>75</v>
      </c>
      <c r="B76" s="71">
        <v>21001</v>
      </c>
      <c r="C76" s="72" t="s">
        <v>69</v>
      </c>
      <c r="D76" s="108" t="s">
        <v>262</v>
      </c>
      <c r="E76" s="73" t="s">
        <v>80</v>
      </c>
      <c r="F76" s="71">
        <v>2</v>
      </c>
      <c r="G76" s="71">
        <v>14</v>
      </c>
      <c r="H76" s="71">
        <v>4</v>
      </c>
      <c r="I76" s="60">
        <v>11384.460000000001</v>
      </c>
      <c r="J76" s="74" t="s">
        <v>195</v>
      </c>
      <c r="K76" s="75" t="s">
        <v>195</v>
      </c>
      <c r="L76" s="72" t="s">
        <v>194</v>
      </c>
      <c r="M76" s="59">
        <f>SUMIFS(T_Fe[Total kg],T_Fe[Codigo],T_Info[[#This Row],[Codigo]])</f>
        <v>377807.98542725452</v>
      </c>
      <c r="N76" s="60">
        <f>SUMIFS(T_HA[Total m3],T_HA[Codigo],T_Info[[#This Row],[Codigo]])</f>
        <v>3758.8669999999988</v>
      </c>
      <c r="O76" s="61">
        <f>SUMIFS(T_MLD[Total m2],T_MLD[Codigo],T_Info[[#This Row],[Codigo]])</f>
        <v>23541.049999999901</v>
      </c>
      <c r="P76" s="76">
        <f>IFERROR(T_Info[[#This Row],[Fe (kg)]]/T_Info[[#This Row],[HA (m3)]],)</f>
        <v>100.51113418677879</v>
      </c>
      <c r="Q76" s="62">
        <f>IFERROR(T_Info[[#This Row],[Fe (kg)]]/T_Info[[#This Row],[Superficie m2]],)</f>
        <v>33.186289505804801</v>
      </c>
      <c r="R76" s="62">
        <f>IFERROR(T_Info[[#This Row],[HA (m3)]]/T_Info[[#This Row],[Superficie m2]],)</f>
        <v>0.3301752564460676</v>
      </c>
      <c r="S76" s="62">
        <f>IFERROR(T_Info[[#This Row],[HA (m3)]]/T_Info[[#This Row],[MLD (m2)]],)</f>
        <v>0.15967286930701963</v>
      </c>
      <c r="T76" s="77">
        <f>IFERROR(T_Info[[#This Row],[MLD (m2)]]/T_Info[[#This Row],[Superficie m2]],)</f>
        <v>2.0678231554241395</v>
      </c>
      <c r="U76" s="76">
        <f>IFERROR(SUMIFS(T_Fe[Fund kg],T_Fe[Codigo],T_Info[[#This Row],[Codigo]])/SUMIFS(T_HA[Fund m3],T_HA[Codigo],T_Info[[#This Row],[Codigo]]),)</f>
        <v>25.801531510443013</v>
      </c>
      <c r="V76" s="62">
        <f>IFERROR(SUMIFS(T_Fe[Grua kg],T_Fe[Codigo],T_Info[[#This Row],[Codigo]])/SUMIFS(T_HA[Grua m3],T_HA[Codigo],T_Info[[#This Row],[Codigo]]),)</f>
        <v>97.547435186500067</v>
      </c>
      <c r="W76" s="62">
        <f>IFERROR(SUMIFS(T_Fe[Muros kg],T_Fe[Codigo],T_Info[[#This Row],[Codigo]])/SUMIFS(T_HA[Muros Int m3],T_HA[Codigo],T_Info[[#This Row],[Codigo]]),)</f>
        <v>119.31017388991111</v>
      </c>
      <c r="X76" s="62">
        <f>IFERROR(SUMIFS(T_Fe[Perimetrales kg],T_Fe[Codigo],T_Info[[#This Row],[Codigo]])/SUMIFS(T_HA[Perimetrales m3],T_HA[Codigo],T_Info[[#This Row],[Codigo]]),)</f>
        <v>78.911305701510429</v>
      </c>
      <c r="Y76" s="62">
        <f>IFERROR(SUMIFS(T_Fe[Vigas kg],T_Fe[Codigo],T_Info[[#This Row],[Codigo]])/SUMIFS(T_HA[Vigas m3],T_HA[Codigo],T_Info[[#This Row],[Codigo]]),)</f>
        <v>222.03254340285991</v>
      </c>
      <c r="Z76" s="77">
        <f>IFERROR(SUMIFS(T_Fe[Losas kg],T_Fe[Codigo],T_Info[[#This Row],[Codigo]])/SUMIFS(T_HA[Losas m3],T_HA[Codigo],T_Info[[#This Row],[Codigo]]),)</f>
        <v>87.38032286537404</v>
      </c>
      <c r="AA76" s="76">
        <f>SUMIFS(T_Fe[Fund kg/m2],T_Fe[Codigo],T_Info[[#This Row],[Codigo]])</f>
        <v>0.33245552773402398</v>
      </c>
      <c r="AB76" s="62">
        <f>SUMIFS(T_Fe[Muros kg/m2],T_Fe[Codigo],T_Info[[#This Row],[Codigo]])</f>
        <v>10.452842509684</v>
      </c>
      <c r="AC76" s="62">
        <f>SUMIFS(T_Fe[Perimetrales kg/m2],T_Fe[Codigo],T_Info[[#This Row],[Codigo]])</f>
        <v>3.0144370252545909</v>
      </c>
      <c r="AD76" s="62">
        <f>SUMIFS(T_Fe[Vigas kg/m2],T_Fe[Codigo],T_Info[[#This Row],[Codigo]])</f>
        <v>3.2059236436828913</v>
      </c>
      <c r="AE76" s="77">
        <f>SUMIFS(T_Fe[Losas kg/m2],T_Fe[Codigo],T_Info[[#This Row],[Codigo]])</f>
        <v>14.647202549236347</v>
      </c>
      <c r="AF76" s="76">
        <f>IFERROR(SUMIFS(T_HA[Fund m3/m2],T_HA[Codigo],T_Info[[#This Row],[Codigo]]),)</f>
        <v>1.2885108296748379E-2</v>
      </c>
      <c r="AG76" s="62">
        <f>IFERROR(SUMIFS(T_HA[Muros Int m3/m2],T_HA[Codigo],T_Info[[#This Row],[Codigo]]),)</f>
        <v>8.7610655226510362E-2</v>
      </c>
      <c r="AH76" s="62">
        <f>IFERROR(SUMIFS(T_HA[Perimetrales m3/m2],T_HA[Codigo],T_Info[[#This Row],[Codigo]]),)</f>
        <v>3.8200318680025241E-2</v>
      </c>
      <c r="AI76" s="62">
        <f>IFERROR(SUMIFS(T_HA[Vigas m3/m2],T_HA[Codigo],T_Info[[#This Row],[Codigo]]),)</f>
        <v>1.4438980856360343E-2</v>
      </c>
      <c r="AJ76" s="77">
        <f>IFERROR(SUMIFS(T_HA[Losas m3/m2],T_HA[Codigo],T_Info[[#This Row],[Codigo]]),)</f>
        <v>0.16762586894767076</v>
      </c>
      <c r="AK76" s="62">
        <f>IFERROR(SUMIFS(T_HA[Fund m3],T_HA[Codigo],T_Info[[#This Row],[Codigo]])/SUMIFS(T_MLD[Fund Lat m2],T_MLD[Codigo],T_Info[[#This Row],[Codigo]]),)</f>
        <v>0.35299355087111356</v>
      </c>
      <c r="AL76" s="62">
        <f>IFERROR(SUMIFS(T_HA[Muros m3],T_HA[Codigo],T_Info[[#This Row],[Codigo]])/SUMIFS(T_MLD[Muro m2],T_MLD[Codigo],T_Info[[#This Row],[Codigo]]),)</f>
        <v>0.13454303613045518</v>
      </c>
      <c r="AM76" s="62">
        <f>IFERROR(SUMIFS(T_HA[Vigas m3],T_HA[Codigo],T_Info[[#This Row],[Codigo]])/(SUMIFS(T_MLD[Viga Lat m2],T_MLD[Codigo],T_Info[[#This Row],[Codigo]])+SUMIFS(T_MLD[Viga Fondo m2],T_MLD[Codigo],T_Info[[#This Row],[Codigo]])),)</f>
        <v>0.10113576236356646</v>
      </c>
      <c r="AN76" s="62">
        <f>IFERROR(SUMIFS(T_HA[Losas m3],T_HA[Codigo],T_Info[[#This Row],[Codigo]])/(SUMIFS(T_MLD[Losa Fondo m2],T_MLD[Codigo],T_Info[[#This Row],[Codigo]])+SUMIFS(T_MLD[Rebalse m2],T_MLD[Codigo],T_Info[[#This Row],[Codigo]])),)</f>
        <v>0.17800323857636965</v>
      </c>
      <c r="AO76" s="76">
        <f>IFERROR(SUMIFS(T_MLD[Fund Lat m2],T_MLD[Codigo],T_Info[[#This Row],[Codigo]])/T_Info[[#This Row],[Superficie m2]],)</f>
        <v>3.6502390100189228E-2</v>
      </c>
      <c r="AP76" s="62">
        <f>IFERROR(SUMIFS(T_MLD[Muro m2],T_MLD[Codigo],T_Info[[#This Row],[Codigo]])/T_Info[[#This Row],[Superficie m2]],)</f>
        <v>0.93509837093721582</v>
      </c>
      <c r="AQ76" s="62">
        <f>IFERROR((SUMIFS(T_MLD[Viga Lat m2],T_MLD[Codigo],T_Info[[#This Row],[Codigo]])+SUMIFS(T_MLD[Viga Fondo m2],T_MLD[Codigo],T_Info[[#This Row],[Codigo]]))/T_Info[[#This Row],[Superficie m2]],)</f>
        <v>0.14276829994571633</v>
      </c>
      <c r="AR76" s="77">
        <f>IFERROR((SUMIFS(T_MLD[Losa Fondo m2],T_MLD[Codigo],T_Info[[#This Row],[Codigo]])+SUMIFS(T_MLD[Rebalse m2],T_MLD[Codigo],T_Info[[#This Row],[Codigo]]))/T_Info[[#This Row],[Superficie m2]],)</f>
        <v>0.94170123132761641</v>
      </c>
    </row>
    <row r="77" spans="1:44" x14ac:dyDescent="0.25">
      <c r="A77" s="110">
        <v>76</v>
      </c>
      <c r="B77" s="71">
        <v>21046</v>
      </c>
      <c r="C77" s="72" t="s">
        <v>71</v>
      </c>
      <c r="D77" s="6" t="s">
        <v>263</v>
      </c>
      <c r="E77" s="73" t="s">
        <v>80</v>
      </c>
      <c r="F77" s="71">
        <v>2</v>
      </c>
      <c r="G77" s="71">
        <v>8</v>
      </c>
      <c r="H77" s="71">
        <v>2</v>
      </c>
      <c r="I77" s="60">
        <v>9776.25</v>
      </c>
      <c r="J77" s="74" t="s">
        <v>195</v>
      </c>
      <c r="K77" s="75" t="s">
        <v>195</v>
      </c>
      <c r="L77" s="72" t="s">
        <v>194</v>
      </c>
      <c r="M77" s="59">
        <f>SUMIFS(T_Fe[Total kg],T_Fe[Codigo],T_Info[[#This Row],[Codigo]])</f>
        <v>278937.2173810954</v>
      </c>
      <c r="N77" s="60">
        <f>SUMIFS(T_HA[Total m3],T_HA[Codigo],T_Info[[#This Row],[Codigo]])</f>
        <v>3335.5799999999995</v>
      </c>
      <c r="O77" s="61">
        <f>SUMIFS(T_MLD[Total m2],T_MLD[Codigo],T_Info[[#This Row],[Codigo]])</f>
        <v>27044.009999999547</v>
      </c>
      <c r="P77" s="76">
        <f>IFERROR(T_Info[[#This Row],[Fe (kg)]]/T_Info[[#This Row],[HA (m3)]],)</f>
        <v>83.624802097714777</v>
      </c>
      <c r="Q77" s="62">
        <f>IFERROR(T_Info[[#This Row],[Fe (kg)]]/T_Info[[#This Row],[Superficie m2]],)</f>
        <v>28.532128104446532</v>
      </c>
      <c r="R77" s="62">
        <f>IFERROR(T_Info[[#This Row],[HA (m3)]]/T_Info[[#This Row],[Superficie m2]],)</f>
        <v>0.34119217491369386</v>
      </c>
      <c r="S77" s="62">
        <f>IFERROR(T_Info[[#This Row],[HA (m3)]]/T_Info[[#This Row],[MLD (m2)]],)</f>
        <v>0.12333895749927823</v>
      </c>
      <c r="T77" s="77">
        <f>IFERROR(T_Info[[#This Row],[MLD (m2)]]/T_Info[[#This Row],[Superficie m2]],)</f>
        <v>2.7662968929803911</v>
      </c>
      <c r="U77" s="76">
        <f>IFERROR(SUMIFS(T_Fe[Fund kg],T_Fe[Codigo],T_Info[[#This Row],[Codigo]])/SUMIFS(T_HA[Fund m3],T_HA[Codigo],T_Info[[#This Row],[Codigo]]),)</f>
        <v>11.62476348743817</v>
      </c>
      <c r="V77" s="62">
        <f>IFERROR(SUMIFS(T_Fe[Grua kg],T_Fe[Codigo],T_Info[[#This Row],[Codigo]])/SUMIFS(T_HA[Grua m3],T_HA[Codigo],T_Info[[#This Row],[Codigo]]),)</f>
        <v>0</v>
      </c>
      <c r="W77" s="62">
        <f>IFERROR(SUMIFS(T_Fe[Muros kg],T_Fe[Codigo],T_Info[[#This Row],[Codigo]])/SUMIFS(T_HA[Muros Int m3],T_HA[Codigo],T_Info[[#This Row],[Codigo]]),)</f>
        <v>82.67343381928697</v>
      </c>
      <c r="X77" s="62">
        <f>IFERROR(SUMIFS(T_Fe[Perimetrales kg],T_Fe[Codigo],T_Info[[#This Row],[Codigo]])/SUMIFS(T_HA[Perimetrales m3],T_HA[Codigo],T_Info[[#This Row],[Codigo]]),)</f>
        <v>131.24963368304296</v>
      </c>
      <c r="Y77" s="62">
        <f>IFERROR(SUMIFS(T_Fe[Vigas kg],T_Fe[Codigo],T_Info[[#This Row],[Codigo]])/SUMIFS(T_HA[Vigas m3],T_HA[Codigo],T_Info[[#This Row],[Codigo]]),)</f>
        <v>149.98016533695503</v>
      </c>
      <c r="Z77" s="77">
        <f>IFERROR(SUMIFS(T_Fe[Losas kg],T_Fe[Codigo],T_Info[[#This Row],[Codigo]])/SUMIFS(T_HA[Losas m3],T_HA[Codigo],T_Info[[#This Row],[Codigo]]),)</f>
        <v>78.281259744699369</v>
      </c>
      <c r="AA77" s="76">
        <f>SUMIFS(T_Fe[Fund kg/m2],T_Fe[Codigo],T_Info[[#This Row],[Codigo]])</f>
        <v>0.19812485280930286</v>
      </c>
      <c r="AB77" s="62">
        <f>SUMIFS(T_Fe[Muros kg/m2],T_Fe[Codigo],T_Info[[#This Row],[Codigo]])</f>
        <v>11.479355861193302</v>
      </c>
      <c r="AC77" s="62">
        <f>SUMIFS(T_Fe[Perimetrales kg/m2],T_Fe[Codigo],T_Info[[#This Row],[Codigo]])</f>
        <v>1.7290515608785679</v>
      </c>
      <c r="AD77" s="62">
        <f>SUMIFS(T_Fe[Vigas kg/m2],T_Fe[Codigo],T_Info[[#This Row],[Codigo]])</f>
        <v>2.9163768756481532</v>
      </c>
      <c r="AE77" s="77">
        <f>SUMIFS(T_Fe[Losas kg/m2],T_Fe[Codigo],T_Info[[#This Row],[Codigo]])</f>
        <v>11.817877861614051</v>
      </c>
      <c r="AF77" s="76">
        <f>IFERROR(SUMIFS(T_HA[Fund m3/m2],T_HA[Codigo],T_Info[[#This Row],[Codigo]]),)</f>
        <v>1.7043344840813188E-2</v>
      </c>
      <c r="AG77" s="62">
        <f>IFERROR(SUMIFS(T_HA[Muros Int m3/m2],T_HA[Codigo],T_Info[[#This Row],[Codigo]]),)</f>
        <v>0.13885180923155599</v>
      </c>
      <c r="AH77" s="62">
        <f>IFERROR(SUMIFS(T_HA[Perimetrales m3/m2],T_HA[Codigo],T_Info[[#This Row],[Codigo]]),)</f>
        <v>1.3173762945914843E-2</v>
      </c>
      <c r="AI77" s="62">
        <f>IFERROR(SUMIFS(T_HA[Vigas m3/m2],T_HA[Codigo],T_Info[[#This Row],[Codigo]]),)</f>
        <v>1.9445083748881289E-2</v>
      </c>
      <c r="AJ77" s="77">
        <f>IFERROR(SUMIFS(T_HA[Losas m3/m2],T_HA[Codigo],T_Info[[#This Row],[Codigo]]),)</f>
        <v>0.15096688403017519</v>
      </c>
      <c r="AK77" s="62">
        <f>IFERROR(SUMIFS(T_HA[Fund m3],T_HA[Codigo],T_Info[[#This Row],[Codigo]])/SUMIFS(T_MLD[Fund Lat m2],T_MLD[Codigo],T_Info[[#This Row],[Codigo]]),)</f>
        <v>0.34851178648371617</v>
      </c>
      <c r="AL77" s="62">
        <f>IFERROR(SUMIFS(T_HA[Muros m3],T_HA[Codigo],T_Info[[#This Row],[Codigo]])/SUMIFS(T_MLD[Muro m2],T_MLD[Codigo],T_Info[[#This Row],[Codigo]]),)</f>
        <v>9.7500109883120162E-2</v>
      </c>
      <c r="AM77" s="62">
        <f>IFERROR(SUMIFS(T_HA[Vigas m3],T_HA[Codigo],T_Info[[#This Row],[Codigo]])/(SUMIFS(T_MLD[Viga Lat m2],T_MLD[Codigo],T_Info[[#This Row],[Codigo]])+SUMIFS(T_MLD[Viga Fondo m2],T_MLD[Codigo],T_Info[[#This Row],[Codigo]])),)</f>
        <v>9.9998947933214566E-2</v>
      </c>
      <c r="AN77" s="62">
        <f>IFERROR(SUMIFS(T_HA[Losas m3],T_HA[Codigo],T_Info[[#This Row],[Codigo]])/(SUMIFS(T_MLD[Losa Fondo m2],T_MLD[Codigo],T_Info[[#This Row],[Codigo]])+SUMIFS(T_MLD[Rebalse m2],T_MLD[Codigo],T_Info[[#This Row],[Codigo]])),)</f>
        <v>0.15665244023465633</v>
      </c>
      <c r="AO77" s="76">
        <f>IFERROR(SUMIFS(T_MLD[Fund Lat m2],T_MLD[Codigo],T_Info[[#This Row],[Codigo]])/T_Info[[#This Row],[Superficie m2]],)</f>
        <v>4.8903209308272626E-2</v>
      </c>
      <c r="AP77" s="62">
        <f>IFERROR(SUMIFS(T_MLD[Muro m2],T_MLD[Codigo],T_Info[[#This Row],[Codigo]])/T_Info[[#This Row],[Superficie m2]],)</f>
        <v>1.5592348804500216</v>
      </c>
      <c r="AQ77" s="62">
        <f>IFERROR((SUMIFS(T_MLD[Viga Lat m2],T_MLD[Codigo],T_Info[[#This Row],[Codigo]])+SUMIFS(T_MLD[Viga Fondo m2],T_MLD[Codigo],T_Info[[#This Row],[Codigo]]))/T_Info[[#This Row],[Superficie m2]],)</f>
        <v>0.19445288326301102</v>
      </c>
      <c r="AR77" s="77">
        <f>IFERROR((SUMIFS(T_MLD[Losa Fondo m2],T_MLD[Codigo],T_Info[[#This Row],[Codigo]])+SUMIFS(T_MLD[Rebalse m2],T_MLD[Codigo],T_Info[[#This Row],[Codigo]]))/T_Info[[#This Row],[Superficie m2]],)</f>
        <v>0.96370591995908583</v>
      </c>
    </row>
    <row r="78" spans="1:44" x14ac:dyDescent="0.25">
      <c r="A78" s="110">
        <v>77</v>
      </c>
      <c r="B78" s="71">
        <v>21047</v>
      </c>
      <c r="C78" s="72" t="s">
        <v>72</v>
      </c>
      <c r="D78" s="6" t="s">
        <v>263</v>
      </c>
      <c r="E78" s="73" t="s">
        <v>80</v>
      </c>
      <c r="F78" s="71">
        <v>2</v>
      </c>
      <c r="G78" s="71">
        <v>8</v>
      </c>
      <c r="H78" s="71">
        <v>2</v>
      </c>
      <c r="I78" s="60">
        <v>12714</v>
      </c>
      <c r="J78" s="74" t="s">
        <v>195</v>
      </c>
      <c r="K78" s="75" t="s">
        <v>195</v>
      </c>
      <c r="L78" s="72" t="s">
        <v>194</v>
      </c>
      <c r="M78" s="59">
        <f>SUMIFS(T_Fe[Total kg],T_Fe[Codigo],T_Info[[#This Row],[Codigo]])</f>
        <v>375613.60267073213</v>
      </c>
      <c r="N78" s="60">
        <f>SUMIFS(T_HA[Total m3],T_HA[Codigo],T_Info[[#This Row],[Codigo]])</f>
        <v>4154.5299999999988</v>
      </c>
      <c r="O78" s="61">
        <f>SUMIFS(T_MLD[Total m2],T_MLD[Codigo],T_Info[[#This Row],[Codigo]])</f>
        <v>33204.809999999343</v>
      </c>
      <c r="P78" s="76">
        <f>IFERROR(T_Info[[#This Row],[Fe (kg)]]/T_Info[[#This Row],[HA (m3)]],)</f>
        <v>90.410612673571322</v>
      </c>
      <c r="Q78" s="62">
        <f>IFERROR(T_Info[[#This Row],[Fe (kg)]]/T_Info[[#This Row],[Superficie m2]],)</f>
        <v>29.543306801221657</v>
      </c>
      <c r="R78" s="62">
        <f>IFERROR(T_Info[[#This Row],[HA (m3)]]/T_Info[[#This Row],[Superficie m2]],)</f>
        <v>0.32676812962089025</v>
      </c>
      <c r="S78" s="62">
        <f>IFERROR(T_Info[[#This Row],[HA (m3)]]/T_Info[[#This Row],[MLD (m2)]],)</f>
        <v>0.12511831870141948</v>
      </c>
      <c r="T78" s="77">
        <f>IFERROR(T_Info[[#This Row],[MLD (m2)]]/T_Info[[#This Row],[Superficie m2]],)</f>
        <v>2.611672958942846</v>
      </c>
      <c r="U78" s="76">
        <f>IFERROR(SUMIFS(T_Fe[Fund kg],T_Fe[Codigo],T_Info[[#This Row],[Codigo]])/SUMIFS(T_HA[Fund m3],T_HA[Codigo],T_Info[[#This Row],[Codigo]]),)</f>
        <v>14.428758511641679</v>
      </c>
      <c r="V78" s="62">
        <f>IFERROR(SUMIFS(T_Fe[Grua kg],T_Fe[Codigo],T_Info[[#This Row],[Codigo]])/SUMIFS(T_HA[Grua m3],T_HA[Codigo],T_Info[[#This Row],[Codigo]]),)</f>
        <v>0</v>
      </c>
      <c r="W78" s="62">
        <f>IFERROR(SUMIFS(T_Fe[Muros kg],T_Fe[Codigo],T_Info[[#This Row],[Codigo]])/SUMIFS(T_HA[Muros Int m3],T_HA[Codigo],T_Info[[#This Row],[Codigo]]),)</f>
        <v>96.251023296523115</v>
      </c>
      <c r="X78" s="62">
        <f>IFERROR(SUMIFS(T_Fe[Perimetrales kg],T_Fe[Codigo],T_Info[[#This Row],[Codigo]])/SUMIFS(T_HA[Perimetrales m3],T_HA[Codigo],T_Info[[#This Row],[Codigo]]),)</f>
        <v>148.32785799672919</v>
      </c>
      <c r="Y78" s="62">
        <f>IFERROR(SUMIFS(T_Fe[Vigas kg],T_Fe[Codigo],T_Info[[#This Row],[Codigo]])/SUMIFS(T_HA[Vigas m3],T_HA[Codigo],T_Info[[#This Row],[Codigo]]),)</f>
        <v>124.1350897734149</v>
      </c>
      <c r="Z78" s="77">
        <f>IFERROR(SUMIFS(T_Fe[Losas kg],T_Fe[Codigo],T_Info[[#This Row],[Codigo]])/SUMIFS(T_HA[Losas m3],T_HA[Codigo],T_Info[[#This Row],[Codigo]]),)</f>
        <v>84.944463081994144</v>
      </c>
      <c r="AA78" s="76">
        <f>SUMIFS(T_Fe[Fund kg/m2],T_Fe[Codigo],T_Info[[#This Row],[Codigo]])</f>
        <v>0.28641891404499981</v>
      </c>
      <c r="AB78" s="62">
        <f>SUMIFS(T_Fe[Muros kg/m2],T_Fe[Codigo],T_Info[[#This Row],[Codigo]])</f>
        <v>11.752860124816747</v>
      </c>
      <c r="AC78" s="62">
        <f>SUMIFS(T_Fe[Perimetrales kg/m2],T_Fe[Codigo],T_Info[[#This Row],[Codigo]])</f>
        <v>1.689892262924825</v>
      </c>
      <c r="AD78" s="62">
        <f>SUMIFS(T_Fe[Vigas kg/m2],T_Fe[Codigo],T_Info[[#This Row],[Codigo]])</f>
        <v>2.8319476788405811</v>
      </c>
      <c r="AE78" s="77">
        <f>SUMIFS(T_Fe[Losas kg/m2],T_Fe[Codigo],T_Info[[#This Row],[Codigo]])</f>
        <v>12.68127163736116</v>
      </c>
      <c r="AF78" s="76">
        <f>IFERROR(SUMIFS(T_HA[Fund m3/m2],T_HA[Codigo],T_Info[[#This Row],[Codigo]]),)</f>
        <v>1.9850558439515498E-2</v>
      </c>
      <c r="AG78" s="62">
        <f>IFERROR(SUMIFS(T_HA[Muros Int m3/m2],T_HA[Codigo],T_Info[[#This Row],[Codigo]]),)</f>
        <v>0.12210633946830253</v>
      </c>
      <c r="AH78" s="62">
        <f>IFERROR(SUMIFS(T_HA[Perimetrales m3/m2],T_HA[Codigo],T_Info[[#This Row],[Codigo]]),)</f>
        <v>1.1392952650621362E-2</v>
      </c>
      <c r="AI78" s="62">
        <f>IFERROR(SUMIFS(T_HA[Vigas m3/m2],T_HA[Codigo],T_Info[[#This Row],[Codigo]]),)</f>
        <v>2.2813434009753126E-2</v>
      </c>
      <c r="AJ78" s="77">
        <f>IFERROR(SUMIFS(T_HA[Losas m3/m2],T_HA[Codigo],T_Info[[#This Row],[Codigo]]),)</f>
        <v>0.14928897278590528</v>
      </c>
      <c r="AK78" s="62">
        <f>IFERROR(SUMIFS(T_HA[Fund m3],T_HA[Codigo],T_Info[[#This Row],[Codigo]])/SUMIFS(T_MLD[Fund Lat m2],T_MLD[Codigo],T_Info[[#This Row],[Codigo]]),)</f>
        <v>0.36683672727801048</v>
      </c>
      <c r="AL78" s="62">
        <f>IFERROR(SUMIFS(T_HA[Muros m3],T_HA[Codigo],T_Info[[#This Row],[Codigo]])/SUMIFS(T_MLD[Muro m2],T_MLD[Codigo],T_Info[[#This Row],[Codigo]]),)</f>
        <v>9.6894241868253655E-2</v>
      </c>
      <c r="AM78" s="62">
        <f>IFERROR(SUMIFS(T_HA[Vigas m3],T_HA[Codigo],T_Info[[#This Row],[Codigo]])/(SUMIFS(T_MLD[Viga Lat m2],T_MLD[Codigo],T_Info[[#This Row],[Codigo]])+SUMIFS(T_MLD[Viga Fondo m2],T_MLD[Codigo],T_Info[[#This Row],[Codigo]])),)</f>
        <v>0.1039534942064889</v>
      </c>
      <c r="AN78" s="62">
        <f>IFERROR(SUMIFS(T_HA[Losas m3],T_HA[Codigo],T_Info[[#This Row],[Codigo]])/(SUMIFS(T_MLD[Losa Fondo m2],T_MLD[Codigo],T_Info[[#This Row],[Codigo]])+SUMIFS(T_MLD[Rebalse m2],T_MLD[Codigo],T_Info[[#This Row],[Codigo]])),)</f>
        <v>0.15545776277305601</v>
      </c>
      <c r="AO78" s="76">
        <f>IFERROR(SUMIFS(T_MLD[Fund Lat m2],T_MLD[Codigo],T_Info[[#This Row],[Codigo]])/T_Info[[#This Row],[Superficie m2]],)</f>
        <v>5.4112789051439701E-2</v>
      </c>
      <c r="AP78" s="62">
        <f>IFERROR(SUMIFS(T_MLD[Muro m2],T_MLD[Codigo],T_Info[[#This Row],[Codigo]])/T_Info[[#This Row],[Superficie m2]],)</f>
        <v>1.3777835456976055</v>
      </c>
      <c r="AQ78" s="62">
        <f>IFERROR((SUMIFS(T_MLD[Viga Lat m2],T_MLD[Codigo],T_Info[[#This Row],[Codigo]])+SUMIFS(T_MLD[Viga Fondo m2],T_MLD[Codigo],T_Info[[#This Row],[Codigo]]))/T_Info[[#This Row],[Superficie m2]],)</f>
        <v>0.21945807770960993</v>
      </c>
      <c r="AR78" s="77">
        <f>IFERROR((SUMIFS(T_MLD[Losa Fondo m2],T_MLD[Codigo],T_Info[[#This Row],[Codigo]])+SUMIFS(T_MLD[Rebalse m2],T_MLD[Codigo],T_Info[[#This Row],[Codigo]]))/T_Info[[#This Row],[Superficie m2]],)</f>
        <v>0.96031854648419079</v>
      </c>
    </row>
    <row r="79" spans="1:44" x14ac:dyDescent="0.25">
      <c r="A79" s="110">
        <v>78</v>
      </c>
      <c r="B79" s="71">
        <v>21048</v>
      </c>
      <c r="C79" s="72" t="s">
        <v>73</v>
      </c>
      <c r="D79" s="6" t="s">
        <v>263</v>
      </c>
      <c r="E79" s="73" t="s">
        <v>80</v>
      </c>
      <c r="F79" s="71">
        <v>2</v>
      </c>
      <c r="G79" s="71">
        <v>8</v>
      </c>
      <c r="H79" s="71">
        <v>2</v>
      </c>
      <c r="I79" s="60">
        <v>13311.47</v>
      </c>
      <c r="J79" s="74" t="s">
        <v>195</v>
      </c>
      <c r="K79" s="75" t="s">
        <v>195</v>
      </c>
      <c r="L79" s="72" t="s">
        <v>194</v>
      </c>
      <c r="M79" s="59">
        <f>SUMIFS(T_Fe[Total kg],T_Fe[Codigo],T_Info[[#This Row],[Codigo]])</f>
        <v>399423.85198556562</v>
      </c>
      <c r="N79" s="60">
        <f>SUMIFS(T_HA[Total m3],T_HA[Codigo],T_Info[[#This Row],[Codigo]])</f>
        <v>4282.5499999999956</v>
      </c>
      <c r="O79" s="61">
        <f>SUMIFS(T_MLD[Total m2],T_MLD[Codigo],T_Info[[#This Row],[Codigo]])</f>
        <v>34200.658999999316</v>
      </c>
      <c r="P79" s="76">
        <f>IFERROR(T_Info[[#This Row],[Fe (kg)]]/T_Info[[#This Row],[HA (m3)]],)</f>
        <v>93.267761493868377</v>
      </c>
      <c r="Q79" s="62">
        <f>IFERROR(T_Info[[#This Row],[Fe (kg)]]/T_Info[[#This Row],[Superficie m2]],)</f>
        <v>30.005991223025379</v>
      </c>
      <c r="R79" s="62">
        <f>IFERROR(T_Info[[#This Row],[HA (m3)]]/T_Info[[#This Row],[Superficie m2]],)</f>
        <v>0.32171878838325113</v>
      </c>
      <c r="S79" s="62">
        <f>IFERROR(T_Info[[#This Row],[HA (m3)]]/T_Info[[#This Row],[MLD (m2)]],)</f>
        <v>0.12521834740085216</v>
      </c>
      <c r="T79" s="77">
        <f>IFERROR(T_Info[[#This Row],[MLD (m2)]]/T_Info[[#This Row],[Superficie m2]],)</f>
        <v>2.5692623729760364</v>
      </c>
      <c r="U79" s="76">
        <f>IFERROR(SUMIFS(T_Fe[Fund kg],T_Fe[Codigo],T_Info[[#This Row],[Codigo]])/SUMIFS(T_HA[Fund m3],T_HA[Codigo],T_Info[[#This Row],[Codigo]]),)</f>
        <v>20.692900279101632</v>
      </c>
      <c r="V79" s="62">
        <f>IFERROR(SUMIFS(T_Fe[Grua kg],T_Fe[Codigo],T_Info[[#This Row],[Codigo]])/SUMIFS(T_HA[Grua m3],T_HA[Codigo],T_Info[[#This Row],[Codigo]]),)</f>
        <v>0</v>
      </c>
      <c r="W79" s="62">
        <f>IFERROR(SUMIFS(T_Fe[Muros kg],T_Fe[Codigo],T_Info[[#This Row],[Codigo]])/SUMIFS(T_HA[Muros Int m3],T_HA[Codigo],T_Info[[#This Row],[Codigo]]),)</f>
        <v>96.948244654165279</v>
      </c>
      <c r="X79" s="62">
        <f>IFERROR(SUMIFS(T_Fe[Perimetrales kg],T_Fe[Codigo],T_Info[[#This Row],[Codigo]])/SUMIFS(T_HA[Perimetrales m3],T_HA[Codigo],T_Info[[#This Row],[Codigo]]),)</f>
        <v>150.62539951103011</v>
      </c>
      <c r="Y79" s="62">
        <f>IFERROR(SUMIFS(T_Fe[Vigas kg],T_Fe[Codigo],T_Info[[#This Row],[Codigo]])/SUMIFS(T_HA[Vigas m3],T_HA[Codigo],T_Info[[#This Row],[Codigo]]),)</f>
        <v>173.38275374339537</v>
      </c>
      <c r="Z79" s="77">
        <f>IFERROR(SUMIFS(T_Fe[Losas kg],T_Fe[Codigo],T_Info[[#This Row],[Codigo]])/SUMIFS(T_HA[Losas m3],T_HA[Codigo],T_Info[[#This Row],[Codigo]]),)</f>
        <v>81.594156656135027</v>
      </c>
      <c r="AA79" s="76">
        <f>SUMIFS(T_Fe[Fund kg/m2],T_Fe[Codigo],T_Info[[#This Row],[Codigo]])</f>
        <v>0.40237106106558229</v>
      </c>
      <c r="AB79" s="62">
        <f>SUMIFS(T_Fe[Muros kg/m2],T_Fe[Codigo],T_Info[[#This Row],[Codigo]])</f>
        <v>11.283718847365803</v>
      </c>
      <c r="AC79" s="62">
        <f>SUMIFS(T_Fe[Perimetrales kg/m2],T_Fe[Codigo],T_Info[[#This Row],[Codigo]])</f>
        <v>1.6577148149953325</v>
      </c>
      <c r="AD79" s="62">
        <f>SUMIFS(T_Fe[Vigas kg/m2],T_Fe[Codigo],T_Info[[#This Row],[Codigo]])</f>
        <v>4.1711466170742213</v>
      </c>
      <c r="AE79" s="77">
        <f>SUMIFS(T_Fe[Losas kg/m2],T_Fe[Codigo],T_Info[[#This Row],[Codigo]])</f>
        <v>12.203629975607418</v>
      </c>
      <c r="AF79" s="76">
        <f>IFERROR(SUMIFS(T_HA[Fund m3/m2],T_HA[Codigo],T_Info[[#This Row],[Codigo]]),)</f>
        <v>1.944488474976843E-2</v>
      </c>
      <c r="AG79" s="62">
        <f>IFERROR(SUMIFS(T_HA[Muros Int m3/m2],T_HA[Codigo],T_Info[[#This Row],[Codigo]]),)</f>
        <v>0.1163890990251262</v>
      </c>
      <c r="AH79" s="62">
        <f>IFERROR(SUMIFS(T_HA[Perimetrales m3/m2],T_HA[Codigo],T_Info[[#This Row],[Codigo]]),)</f>
        <v>1.100554634461859E-2</v>
      </c>
      <c r="AI79" s="62">
        <f>IFERROR(SUMIFS(T_HA[Vigas m3/m2],T_HA[Codigo],T_Info[[#This Row],[Codigo]]),)</f>
        <v>2.4057448200687101E-2</v>
      </c>
      <c r="AJ79" s="77">
        <f>IFERROR(SUMIFS(T_HA[Losas m3/m2],T_HA[Codigo],T_Info[[#This Row],[Codigo]]),)</f>
        <v>0.14956499920745037</v>
      </c>
      <c r="AK79" s="62">
        <f>IFERROR(SUMIFS(T_HA[Fund m3],T_HA[Codigo],T_Info[[#This Row],[Codigo]])/SUMIFS(T_MLD[Fund Lat m2],T_MLD[Codigo],T_Info[[#This Row],[Codigo]]),)</f>
        <v>0.32835215019662173</v>
      </c>
      <c r="AL79" s="62">
        <f>IFERROR(SUMIFS(T_HA[Muros m3],T_HA[Codigo],T_Info[[#This Row],[Codigo]])/SUMIFS(T_MLD[Muro m2],T_MLD[Codigo],T_Info[[#This Row],[Codigo]]),)</f>
        <v>9.7408225828597511E-2</v>
      </c>
      <c r="AM79" s="62">
        <f>IFERROR(SUMIFS(T_HA[Vigas m3],T_HA[Codigo],T_Info[[#This Row],[Codigo]])/(SUMIFS(T_MLD[Viga Lat m2],T_MLD[Codigo],T_Info[[#This Row],[Codigo]])+SUMIFS(T_MLD[Viga Fondo m2],T_MLD[Codigo],T_Info[[#This Row],[Codigo]])),)</f>
        <v>9.5572632992614967E-2</v>
      </c>
      <c r="AN79" s="62">
        <f>IFERROR(SUMIFS(T_HA[Losas m3],T_HA[Codigo],T_Info[[#This Row],[Codigo]])/(SUMIFS(T_MLD[Losa Fondo m2],T_MLD[Codigo],T_Info[[#This Row],[Codigo]])+SUMIFS(T_MLD[Rebalse m2],T_MLD[Codigo],T_Info[[#This Row],[Codigo]])),)</f>
        <v>0.15735717279523656</v>
      </c>
      <c r="AO79" s="76">
        <f>IFERROR(SUMIFS(T_MLD[Fund Lat m2],T_MLD[Codigo],T_Info[[#This Row],[Codigo]])/T_Info[[#This Row],[Superficie m2]],)</f>
        <v>5.921960534786988E-2</v>
      </c>
      <c r="AP79" s="62">
        <f>IFERROR(SUMIFS(T_MLD[Muro m2],T_MLD[Codigo],T_Info[[#This Row],[Codigo]])/T_Info[[#This Row],[Superficie m2]],)</f>
        <v>1.3078427852069936</v>
      </c>
      <c r="AQ79" s="62">
        <f>IFERROR((SUMIFS(T_MLD[Viga Lat m2],T_MLD[Codigo],T_Info[[#This Row],[Codigo]])+SUMIFS(T_MLD[Viga Fondo m2],T_MLD[Codigo],T_Info[[#This Row],[Codigo]]))/T_Info[[#This Row],[Superficie m2]],)</f>
        <v>0.25171900624047944</v>
      </c>
      <c r="AR79" s="77">
        <f>IFERROR((SUMIFS(T_MLD[Losa Fondo m2],T_MLD[Codigo],T_Info[[#This Row],[Codigo]])+SUMIFS(T_MLD[Rebalse m2],T_MLD[Codigo],T_Info[[#This Row],[Codigo]]))/T_Info[[#This Row],[Superficie m2]],)</f>
        <v>0.95048097618069272</v>
      </c>
    </row>
    <row r="80" spans="1:44" x14ac:dyDescent="0.25">
      <c r="A80" s="110">
        <v>79</v>
      </c>
      <c r="B80" s="71">
        <v>21049</v>
      </c>
      <c r="C80" s="72" t="s">
        <v>74</v>
      </c>
      <c r="D80" s="6" t="s">
        <v>263</v>
      </c>
      <c r="E80" s="73" t="s">
        <v>80</v>
      </c>
      <c r="F80" s="71">
        <v>2</v>
      </c>
      <c r="G80" s="71">
        <v>8</v>
      </c>
      <c r="H80" s="71">
        <v>2</v>
      </c>
      <c r="I80" s="60">
        <v>9858.1</v>
      </c>
      <c r="J80" s="74" t="s">
        <v>195</v>
      </c>
      <c r="K80" s="75" t="s">
        <v>195</v>
      </c>
      <c r="L80" s="72" t="s">
        <v>194</v>
      </c>
      <c r="M80" s="59">
        <f>SUMIFS(T_Fe[Total kg],T_Fe[Codigo],T_Info[[#This Row],[Codigo]])</f>
        <v>309422.28000000003</v>
      </c>
      <c r="N80" s="60">
        <f>SUMIFS(T_HA[Total m3],T_HA[Codigo],T_Info[[#This Row],[Codigo]])</f>
        <v>3514.4499999999966</v>
      </c>
      <c r="O80" s="61">
        <f>SUMIFS(T_MLD[Total m2],T_MLD[Codigo],T_Info[[#This Row],[Codigo]])</f>
        <v>26967.299999999628</v>
      </c>
      <c r="P80" s="76">
        <f>IFERROR(T_Info[[#This Row],[Fe (kg)]]/T_Info[[#This Row],[HA (m3)]],)</f>
        <v>88.042874418472394</v>
      </c>
      <c r="Q80" s="62">
        <f>IFERROR(T_Info[[#This Row],[Fe (kg)]]/T_Info[[#This Row],[Superficie m2]],)</f>
        <v>31.38761830372993</v>
      </c>
      <c r="R80" s="62">
        <f>IFERROR(T_Info[[#This Row],[HA (m3)]]/T_Info[[#This Row],[Superficie m2]],)</f>
        <v>0.35650378876254007</v>
      </c>
      <c r="S80" s="62">
        <f>IFERROR(T_Info[[#This Row],[HA (m3)]]/T_Info[[#This Row],[MLD (m2)]],)</f>
        <v>0.13032265002429036</v>
      </c>
      <c r="T80" s="77">
        <f>IFERROR(T_Info[[#This Row],[MLD (m2)]]/T_Info[[#This Row],[Superficie m2]],)</f>
        <v>2.7355474178593875</v>
      </c>
      <c r="U80" s="76">
        <f>IFERROR(SUMIFS(T_Fe[Fund kg],T_Fe[Codigo],T_Info[[#This Row],[Codigo]])/SUMIFS(T_HA[Fund m3],T_HA[Codigo],T_Info[[#This Row],[Codigo]]),)</f>
        <v>17.19504048582996</v>
      </c>
      <c r="V80" s="62">
        <f>IFERROR(SUMIFS(T_Fe[Grua kg],T_Fe[Codigo],T_Info[[#This Row],[Codigo]])/SUMIFS(T_HA[Grua m3],T_HA[Codigo],T_Info[[#This Row],[Codigo]]),)</f>
        <v>0</v>
      </c>
      <c r="W80" s="62">
        <f>IFERROR(SUMIFS(T_Fe[Muros kg],T_Fe[Codigo],T_Info[[#This Row],[Codigo]])/SUMIFS(T_HA[Muros Int m3],T_HA[Codigo],T_Info[[#This Row],[Codigo]]),)</f>
        <v>86.587931994582874</v>
      </c>
      <c r="X80" s="62">
        <f>IFERROR(SUMIFS(T_Fe[Perimetrales kg],T_Fe[Codigo],T_Info[[#This Row],[Codigo]])/SUMIFS(T_HA[Perimetrales m3],T_HA[Codigo],T_Info[[#This Row],[Codigo]]),)</f>
        <v>125.36337975159957</v>
      </c>
      <c r="Y80" s="62">
        <f>IFERROR(SUMIFS(T_Fe[Vigas kg],T_Fe[Codigo],T_Info[[#This Row],[Codigo]])/SUMIFS(T_HA[Vigas m3],T_HA[Codigo],T_Info[[#This Row],[Codigo]]),)</f>
        <v>175.54146388014124</v>
      </c>
      <c r="Z80" s="77">
        <f>IFERROR(SUMIFS(T_Fe[Losas kg],T_Fe[Codigo],T_Info[[#This Row],[Codigo]])/SUMIFS(T_HA[Losas m3],T_HA[Codigo],T_Info[[#This Row],[Codigo]]),)</f>
        <v>80.914942466458527</v>
      </c>
      <c r="AA80" s="76">
        <f>SUMIFS(T_Fe[Fund kg/m2],T_Fe[Codigo],T_Info[[#This Row],[Codigo]])</f>
        <v>0.34466479341861006</v>
      </c>
      <c r="AB80" s="62">
        <f>SUMIFS(T_Fe[Muros kg/m2],T_Fe[Codigo],T_Info[[#This Row],[Codigo]])</f>
        <v>12.776289548695996</v>
      </c>
      <c r="AC80" s="62">
        <f>SUMIFS(T_Fe[Perimetrales kg/m2],T_Fe[Codigo],T_Info[[#This Row],[Codigo]])</f>
        <v>2.027310536513121</v>
      </c>
      <c r="AD80" s="62">
        <f>SUMIFS(T_Fe[Vigas kg/m2],T_Fe[Codigo],T_Info[[#This Row],[Codigo]])</f>
        <v>3.7319544334100891</v>
      </c>
      <c r="AE80" s="77">
        <f>SUMIFS(T_Fe[Losas kg/m2],T_Fe[Codigo],T_Info[[#This Row],[Codigo]])</f>
        <v>12.119306965845345</v>
      </c>
      <c r="AF80" s="76">
        <f>IFERROR(SUMIFS(T_HA[Fund m3/m2],T_HA[Codigo],T_Info[[#This Row],[Codigo]]),)</f>
        <v>2.0044430468345826E-2</v>
      </c>
      <c r="AG80" s="62">
        <f>IFERROR(SUMIFS(T_HA[Muros Int m3/m2],T_HA[Codigo],T_Info[[#This Row],[Codigo]]),)</f>
        <v>0.1475527738610885</v>
      </c>
      <c r="AH80" s="62">
        <f>IFERROR(SUMIFS(T_HA[Perimetrales m3/m2],T_HA[Codigo],T_Info[[#This Row],[Codigo]]),)</f>
        <v>1.6171473204775768E-2</v>
      </c>
      <c r="AI80" s="62">
        <f>IFERROR(SUMIFS(T_HA[Vigas m3/m2],T_HA[Codigo],T_Info[[#This Row],[Codigo]]),)</f>
        <v>2.1259674785202017E-2</v>
      </c>
      <c r="AJ80" s="77">
        <f>IFERROR(SUMIFS(T_HA[Losas m3/m2],T_HA[Codigo],T_Info[[#This Row],[Codigo]]),)</f>
        <v>0.14977835485539809</v>
      </c>
      <c r="AK80" s="62">
        <f>IFERROR(SUMIFS(T_HA[Fund m3],T_HA[Codigo],T_Info[[#This Row],[Codigo]])/SUMIFS(T_MLD[Fund Lat m2],T_MLD[Codigo],T_Info[[#This Row],[Codigo]]),)</f>
        <v>0.3715053864520857</v>
      </c>
      <c r="AL80" s="62">
        <f>IFERROR(SUMIFS(T_HA[Muros m3],T_HA[Codigo],T_Info[[#This Row],[Codigo]])/SUMIFS(T_MLD[Muro m2],T_MLD[Codigo],T_Info[[#This Row],[Codigo]]),)</f>
        <v>0.1079655181409738</v>
      </c>
      <c r="AM80" s="62">
        <f>IFERROR(SUMIFS(T_HA[Vigas m3],T_HA[Codigo],T_Info[[#This Row],[Codigo]])/(SUMIFS(T_MLD[Viga Lat m2],T_MLD[Codigo],T_Info[[#This Row],[Codigo]])+SUMIFS(T_MLD[Viga Fondo m2],T_MLD[Codigo],T_Info[[#This Row],[Codigo]])),)</f>
        <v>9.9152674681010841E-2</v>
      </c>
      <c r="AN80" s="62">
        <f>IFERROR(SUMIFS(T_HA[Losas m3],T_HA[Codigo],T_Info[[#This Row],[Codigo]])/(SUMIFS(T_MLD[Losa Fondo m2],T_MLD[Codigo],T_Info[[#This Row],[Codigo]])+SUMIFS(T_MLD[Rebalse m2],T_MLD[Codigo],T_Info[[#This Row],[Codigo]])),)</f>
        <v>0.15754039257862715</v>
      </c>
      <c r="AO80" s="76">
        <f>IFERROR(SUMIFS(T_MLD[Fund Lat m2],T_MLD[Codigo],T_Info[[#This Row],[Codigo]])/T_Info[[#This Row],[Superficie m2]],)</f>
        <v>5.3954616001055E-2</v>
      </c>
      <c r="AP80" s="62">
        <f>IFERROR(SUMIFS(T_MLD[Muro m2],T_MLD[Codigo],T_Info[[#This Row],[Codigo]])/T_Info[[#This Row],[Superficie m2]],)</f>
        <v>1.5164494172304621</v>
      </c>
      <c r="AQ80" s="62">
        <f>IFERROR((SUMIFS(T_MLD[Viga Lat m2],T_MLD[Codigo],T_Info[[#This Row],[Codigo]])+SUMIFS(T_MLD[Viga Fondo m2],T_MLD[Codigo],T_Info[[#This Row],[Codigo]]))/T_Info[[#This Row],[Superficie m2]],)</f>
        <v>0.21441352796177823</v>
      </c>
      <c r="AR80" s="77">
        <f>IFERROR((SUMIFS(T_MLD[Losa Fondo m2],T_MLD[Codigo],T_Info[[#This Row],[Codigo]])+SUMIFS(T_MLD[Rebalse m2],T_MLD[Codigo],T_Info[[#This Row],[Codigo]]))/T_Info[[#This Row],[Superficie m2]],)</f>
        <v>0.95072985666609233</v>
      </c>
    </row>
    <row r="81" spans="1:44" ht="15.75" thickBot="1" x14ac:dyDescent="0.3">
      <c r="A81" s="111">
        <v>80</v>
      </c>
      <c r="B81" s="63">
        <v>20119</v>
      </c>
      <c r="C81" s="64" t="s">
        <v>39</v>
      </c>
      <c r="D81" s="109" t="s">
        <v>267</v>
      </c>
      <c r="E81" s="65" t="s">
        <v>80</v>
      </c>
      <c r="F81" s="63">
        <v>2</v>
      </c>
      <c r="G81" s="63">
        <v>9</v>
      </c>
      <c r="H81" s="63">
        <v>0</v>
      </c>
      <c r="I81" s="55">
        <v>11110</v>
      </c>
      <c r="J81" s="66" t="s">
        <v>195</v>
      </c>
      <c r="K81" s="67" t="s">
        <v>195</v>
      </c>
      <c r="L81" s="64" t="s">
        <v>193</v>
      </c>
      <c r="M81" s="54">
        <f>SUMIFS(T_Fe[Total kg],T_Fe[Codigo],T_Info[[#This Row],[Codigo]])</f>
        <v>280916.76341683511</v>
      </c>
      <c r="N81" s="55">
        <f>SUMIFS(T_HA[Total m3],T_HA[Codigo],T_Info[[#This Row],[Codigo]])</f>
        <v>3258.2400000000002</v>
      </c>
      <c r="O81" s="56">
        <f>SUMIFS(T_MLD[Total m2],T_MLD[Codigo],T_Info[[#This Row],[Codigo]])</f>
        <v>30796.620000000003</v>
      </c>
      <c r="P81" s="68">
        <f>IFERROR(T_Info[[#This Row],[Fe (kg)]]/T_Info[[#This Row],[HA (m3)]],)</f>
        <v>86.217333105245501</v>
      </c>
      <c r="Q81" s="69">
        <f>IFERROR(T_Info[[#This Row],[Fe (kg)]]/T_Info[[#This Row],[Superficie m2]],)</f>
        <v>25.285037211236283</v>
      </c>
      <c r="R81" s="69">
        <f>IFERROR(T_Info[[#This Row],[HA (m3)]]/T_Info[[#This Row],[Superficie m2]],)</f>
        <v>0.2932709270927093</v>
      </c>
      <c r="S81" s="69">
        <f>IFERROR(T_Info[[#This Row],[HA (m3)]]/T_Info[[#This Row],[MLD (m2)]],)</f>
        <v>0.10579862335542017</v>
      </c>
      <c r="T81" s="70">
        <f>IFERROR(T_Info[[#This Row],[MLD (m2)]]/T_Info[[#This Row],[Superficie m2]],)</f>
        <v>2.7719729972997302</v>
      </c>
      <c r="U81" s="68">
        <f>IFERROR(SUMIFS(T_Fe[Fund kg],T_Fe[Codigo],T_Info[[#This Row],[Codigo]])/SUMIFS(T_HA[Fund m3],T_HA[Codigo],T_Info[[#This Row],[Codigo]]),)</f>
        <v>24.599939233473677</v>
      </c>
      <c r="V81" s="69">
        <f>IFERROR(SUMIFS(T_Fe[Grua kg],T_Fe[Codigo],T_Info[[#This Row],[Codigo]])/SUMIFS(T_HA[Grua m3],T_HA[Codigo],T_Info[[#This Row],[Codigo]]),)</f>
        <v>0</v>
      </c>
      <c r="W81" s="69">
        <f>IFERROR(SUMIFS(T_Fe[Muros kg],T_Fe[Codigo],T_Info[[#This Row],[Codigo]])/SUMIFS(T_HA[Muros Int m3],T_HA[Codigo],T_Info[[#This Row],[Codigo]]),)</f>
        <v>90.532352615185872</v>
      </c>
      <c r="X81" s="69">
        <f>IFERROR(SUMIFS(T_Fe[Perimetrales kg],T_Fe[Codigo],T_Info[[#This Row],[Codigo]])/SUMIFS(T_HA[Perimetrales m3],T_HA[Codigo],T_Info[[#This Row],[Codigo]]),)</f>
        <v>0</v>
      </c>
      <c r="Y81" s="69">
        <f>IFERROR(SUMIFS(T_Fe[Vigas kg],T_Fe[Codigo],T_Info[[#This Row],[Codigo]])/SUMIFS(T_HA[Vigas m3],T_HA[Codigo],T_Info[[#This Row],[Codigo]]),)</f>
        <v>137.12513993716306</v>
      </c>
      <c r="Z81" s="70">
        <f>IFERROR(SUMIFS(T_Fe[Losas kg],T_Fe[Codigo],T_Info[[#This Row],[Codigo]])/SUMIFS(T_HA[Losas m3],T_HA[Codigo],T_Info[[#This Row],[Codigo]]),)</f>
        <v>85.441435423689711</v>
      </c>
      <c r="AA81" s="68">
        <f>SUMIFS(T_Fe[Fund kg/m2],T_Fe[Codigo],T_Info[[#This Row],[Codigo]])</f>
        <v>0.5101332133213321</v>
      </c>
      <c r="AB81" s="69">
        <f>SUMIFS(T_Fe[Muros kg/m2],T_Fe[Codigo],T_Info[[#This Row],[Codigo]])</f>
        <v>9.2237881094246035</v>
      </c>
      <c r="AC81" s="69">
        <f>SUMIFS(T_Fe[Perimetrales kg/m2],T_Fe[Codigo],T_Info[[#This Row],[Codigo]])</f>
        <v>0</v>
      </c>
      <c r="AD81" s="69">
        <f>SUMIFS(T_Fe[Vigas kg/m2],T_Fe[Codigo],T_Info[[#This Row],[Codigo]])</f>
        <v>2.5750151165697863</v>
      </c>
      <c r="AE81" s="70">
        <f>SUMIFS(T_Fe[Losas kg/m2],T_Fe[Codigo],T_Info[[#This Row],[Codigo]])</f>
        <v>12.976100771920558</v>
      </c>
      <c r="AF81" s="68">
        <f>IFERROR(SUMIFS(T_HA[Fund m3/m2],T_HA[Codigo],T_Info[[#This Row],[Codigo]]),)</f>
        <v>2.0737173717371736E-2</v>
      </c>
      <c r="AG81" s="69">
        <f>IFERROR(SUMIFS(T_HA[Muros Int m3/m2],T_HA[Codigo],T_Info[[#This Row],[Codigo]]),)</f>
        <v>0.10188388838883888</v>
      </c>
      <c r="AH81" s="69">
        <f>IFERROR(SUMIFS(T_HA[Perimetrales m3/m2],T_HA[Codigo],T_Info[[#This Row],[Codigo]]),)</f>
        <v>0</v>
      </c>
      <c r="AI81" s="69">
        <f>IFERROR(SUMIFS(T_HA[Vigas m3/m2],T_HA[Codigo],T_Info[[#This Row],[Codigo]]),)</f>
        <v>1.8778577857785778E-2</v>
      </c>
      <c r="AJ81" s="70">
        <f>IFERROR(SUMIFS(T_HA[Losas m3/m2],T_HA[Codigo],T_Info[[#This Row],[Codigo]]),)</f>
        <v>0.15187128712871287</v>
      </c>
      <c r="AK81" s="69">
        <f>IFERROR(SUMIFS(T_HA[Fund m3],T_HA[Codigo],T_Info[[#This Row],[Codigo]])/SUMIFS(T_MLD[Fund Lat m2],T_MLD[Codigo],T_Info[[#This Row],[Codigo]]),)</f>
        <v>0.46457089853202127</v>
      </c>
      <c r="AL81" s="69">
        <f>IFERROR(SUMIFS(T_HA[Muros m3],T_HA[Codigo],T_Info[[#This Row],[Codigo]])/SUMIFS(T_MLD[Muro m2],T_MLD[Codigo],T_Info[[#This Row],[Codigo]]),)</f>
        <v>7.4430247903560842E-2</v>
      </c>
      <c r="AM81" s="69">
        <f>IFERROR(SUMIFS(T_HA[Vigas m3],T_HA[Codigo],T_Info[[#This Row],[Codigo]])/(SUMIFS(T_MLD[Viga Lat m2],T_MLD[Codigo],T_Info[[#This Row],[Codigo]])+SUMIFS(T_MLD[Viga Fondo m2],T_MLD[Codigo],T_Info[[#This Row],[Codigo]])),)</f>
        <v>7.3707565067779299E-2</v>
      </c>
      <c r="AN81" s="69">
        <f>IFERROR(SUMIFS(T_HA[Losas m3],T_HA[Codigo],T_Info[[#This Row],[Codigo]])/(SUMIFS(T_MLD[Losa Fondo m2],T_MLD[Codigo],T_Info[[#This Row],[Codigo]])+SUMIFS(T_MLD[Rebalse m2],T_MLD[Codigo],T_Info[[#This Row],[Codigo]])),)</f>
        <v>0.13760024661033121</v>
      </c>
      <c r="AO81" s="68">
        <f>IFERROR(SUMIFS(T_MLD[Fund Lat m2],T_MLD[Codigo],T_Info[[#This Row],[Codigo]])/T_Info[[#This Row],[Superficie m2]],)</f>
        <v>4.4637263726372639E-2</v>
      </c>
      <c r="AP81" s="69">
        <f>IFERROR(SUMIFS(T_MLD[Muro m2],T_MLD[Codigo],T_Info[[#This Row],[Codigo]])/T_Info[[#This Row],[Superficie m2]],)</f>
        <v>1.368850585058506</v>
      </c>
      <c r="AQ81" s="69">
        <f>IFERROR((SUMIFS(T_MLD[Viga Lat m2],T_MLD[Codigo],T_Info[[#This Row],[Codigo]])+SUMIFS(T_MLD[Viga Fondo m2],T_MLD[Codigo],T_Info[[#This Row],[Codigo]]))/T_Info[[#This Row],[Superficie m2]],)</f>
        <v>0.25477137713771381</v>
      </c>
      <c r="AR81" s="70">
        <f>IFERROR((SUMIFS(T_MLD[Losa Fondo m2],T_MLD[Codigo],T_Info[[#This Row],[Codigo]])+SUMIFS(T_MLD[Rebalse m2],T_MLD[Codigo],T_Info[[#This Row],[Codigo]]))/T_Info[[#This Row],[Superficie m2]],)</f>
        <v>1.1037137713771377</v>
      </c>
    </row>
    <row r="82" spans="1:44" x14ac:dyDescent="0.25">
      <c r="A82" s="110">
        <v>81</v>
      </c>
      <c r="B82" s="71">
        <v>20125</v>
      </c>
      <c r="C82" s="72" t="s">
        <v>246</v>
      </c>
      <c r="D82" s="108" t="s">
        <v>255</v>
      </c>
      <c r="E82" s="73" t="s">
        <v>80</v>
      </c>
      <c r="F82" s="71">
        <v>2</v>
      </c>
      <c r="G82" s="71">
        <v>14</v>
      </c>
      <c r="H82" s="71">
        <v>2</v>
      </c>
      <c r="I82" s="60">
        <v>11586.869999999995</v>
      </c>
      <c r="J82" s="75" t="s">
        <v>195</v>
      </c>
      <c r="K82" s="75" t="s">
        <v>195</v>
      </c>
      <c r="L82" s="72" t="s">
        <v>194</v>
      </c>
      <c r="M82" s="59">
        <f>SUMIFS(T_Fe[Total kg],T_Fe[Codigo],T_Info[[#This Row],[Codigo]])</f>
        <v>361474.51532870473</v>
      </c>
      <c r="N82" s="60">
        <f>SUMIFS(T_HA[Total m3],T_HA[Codigo],T_Info[[#This Row],[Codigo]])</f>
        <v>3982.2024800000017</v>
      </c>
      <c r="O82" s="61">
        <f>SUMIFS(T_MLD[Total m2],T_MLD[Codigo],T_Info[[#This Row],[Codigo]])</f>
        <v>27546.819999999949</v>
      </c>
      <c r="P82" s="76">
        <f>IFERROR(T_Info[[#This Row],[Fe (kg)]]/T_Info[[#This Row],[HA (m3)]],)</f>
        <v>90.772510223715344</v>
      </c>
      <c r="Q82" s="62">
        <f>IFERROR(T_Info[[#This Row],[Fe (kg)]]/T_Info[[#This Row],[Superficie m2]],)</f>
        <v>31.196907821413795</v>
      </c>
      <c r="R82" s="62">
        <f>IFERROR(T_Info[[#This Row],[HA (m3)]]/T_Info[[#This Row],[Superficie m2]],)</f>
        <v>0.3436823300856921</v>
      </c>
      <c r="S82" s="62">
        <f>IFERROR(T_Info[[#This Row],[HA (m3)]]/T_Info[[#This Row],[MLD (m2)]],)</f>
        <v>0.14456124082562014</v>
      </c>
      <c r="T82" s="77">
        <f>IFERROR(T_Info[[#This Row],[MLD (m2)]]/T_Info[[#This Row],[Superficie m2]],)</f>
        <v>2.3774168520057581</v>
      </c>
      <c r="U82" s="76">
        <f>IFERROR(SUMIFS(T_Fe[Fund kg],T_Fe[Codigo],T_Info[[#This Row],[Codigo]])/SUMIFS(T_HA[Fund m3],T_HA[Codigo],T_Info[[#This Row],[Codigo]]),)</f>
        <v>23.932728914381528</v>
      </c>
      <c r="V82" s="62">
        <f>IFERROR(SUMIFS(T_Fe[Grua kg],T_Fe[Codigo],T_Info[[#This Row],[Codigo]])/SUMIFS(T_HA[Grua m3],T_HA[Codigo],T_Info[[#This Row],[Codigo]]),)</f>
        <v>0</v>
      </c>
      <c r="W82" s="62">
        <f>IFERROR(SUMIFS(T_Fe[Muros kg],T_Fe[Codigo],T_Info[[#This Row],[Codigo]])/SUMIFS(T_HA[Muros Int m3],T_HA[Codigo],T_Info[[#This Row],[Codigo]]),)</f>
        <v>100.67056631910833</v>
      </c>
      <c r="X82" s="62">
        <f>IFERROR(SUMIFS(T_Fe[Perimetrales kg],T_Fe[Codigo],T_Info[[#This Row],[Codigo]])/SUMIFS(T_HA[Perimetrales m3],T_HA[Codigo],T_Info[[#This Row],[Codigo]]),)</f>
        <v>120.6322194081378</v>
      </c>
      <c r="Y82" s="62">
        <f>IFERROR(SUMIFS(T_Fe[Vigas kg],T_Fe[Codigo],T_Info[[#This Row],[Codigo]])/SUMIFS(T_HA[Vigas m3],T_HA[Codigo],T_Info[[#This Row],[Codigo]]),)</f>
        <v>127.41651745429452</v>
      </c>
      <c r="Z82" s="77">
        <f>IFERROR(SUMIFS(T_Fe[Losas kg],T_Fe[Codigo],T_Info[[#This Row],[Codigo]])/SUMIFS(T_HA[Losas m3],T_HA[Codigo],T_Info[[#This Row],[Codigo]]),)</f>
        <v>88.302015931885407</v>
      </c>
      <c r="AA82" s="76">
        <f>SUMIFS(T_Fe[Fund kg/m2],T_Fe[Codigo],T_Info[[#This Row],[Codigo]])</f>
        <v>0.47273195147908798</v>
      </c>
      <c r="AB82" s="62">
        <f>SUMIFS(T_Fe[Muros kg/m2],T_Fe[Codigo],T_Info[[#This Row],[Codigo]])</f>
        <v>11.936637845150029</v>
      </c>
      <c r="AC82" s="62">
        <f>SUMIFS(T_Fe[Perimetrales kg/m2],T_Fe[Codigo],T_Info[[#This Row],[Codigo]])</f>
        <v>2.1656157322112661</v>
      </c>
      <c r="AD82" s="62">
        <f>SUMIFS(T_Fe[Vigas kg/m2],T_Fe[Codigo],T_Info[[#This Row],[Codigo]])</f>
        <v>2.4695131061892446</v>
      </c>
      <c r="AE82" s="77">
        <f>SUMIFS(T_Fe[Losas kg/m2],T_Fe[Codigo],T_Info[[#This Row],[Codigo]])</f>
        <v>13.141502346457896</v>
      </c>
      <c r="AF82" s="76">
        <f>IFERROR(SUMIFS(T_HA[Fund m3/m2],T_HA[Codigo],T_Info[[#This Row],[Codigo]]),)</f>
        <v>1.9752530234653537E-2</v>
      </c>
      <c r="AG82" s="62">
        <f>IFERROR(SUMIFS(T_HA[Muros Int m3/m2],T_HA[Codigo],T_Info[[#This Row],[Codigo]]),)</f>
        <v>0.11857127938778994</v>
      </c>
      <c r="AH82" s="62">
        <f>IFERROR(SUMIFS(T_HA[Perimetrales m3/m2],T_HA[Codigo],T_Info[[#This Row],[Codigo]]),)</f>
        <v>1.7952216603793782E-2</v>
      </c>
      <c r="AI82" s="62">
        <f>IFERROR(SUMIFS(T_HA[Vigas m3/m2],T_HA[Codigo],T_Info[[#This Row],[Codigo]]),)</f>
        <v>1.9381420521676726E-2</v>
      </c>
      <c r="AJ82" s="77">
        <f>IFERROR(SUMIFS(T_HA[Losas m3/m2],T_HA[Codigo],T_Info[[#This Row],[Codigo]]),)</f>
        <v>0.14882448840799983</v>
      </c>
      <c r="AK82" s="62">
        <f>IFERROR(SUMIFS(T_HA[Fund m3],T_HA[Codigo],T_Info[[#This Row],[Codigo]])/SUMIFS(T_MLD[Fund Lat m2],T_MLD[Codigo],T_Info[[#This Row],[Codigo]]),)</f>
        <v>0.43256473256473232</v>
      </c>
      <c r="AL82" s="62">
        <f>IFERROR(SUMIFS(T_HA[Muros m3],T_HA[Codigo],T_Info[[#This Row],[Codigo]])/SUMIFS(T_MLD[Muro m2],T_MLD[Codigo],T_Info[[#This Row],[Codigo]]),)</f>
        <v>0.11625958540769167</v>
      </c>
      <c r="AM82" s="62">
        <f>IFERROR(SUMIFS(T_HA[Vigas m3],T_HA[Codigo],T_Info[[#This Row],[Codigo]])/(SUMIFS(T_MLD[Viga Lat m2],T_MLD[Codigo],T_Info[[#This Row],[Codigo]])+SUMIFS(T_MLD[Viga Fondo m2],T_MLD[Codigo],T_Info[[#This Row],[Codigo]])),)</f>
        <v>0.10200077214816171</v>
      </c>
      <c r="AN82" s="62">
        <f>IFERROR(SUMIFS(T_HA[Losas m3],T_HA[Codigo],T_Info[[#This Row],[Codigo]])/(SUMIFS(T_MLD[Losa Fondo m2],T_MLD[Codigo],T_Info[[#This Row],[Codigo]])+SUMIFS(T_MLD[Rebalse m2],T_MLD[Codigo],T_Info[[#This Row],[Codigo]])),)</f>
        <v>0.1538353799695793</v>
      </c>
      <c r="AO82" s="76">
        <f>IFERROR(SUMIFS(T_MLD[Fund Lat m2],T_MLD[Codigo],T_Info[[#This Row],[Codigo]])/T_Info[[#This Row],[Superficie m2]],)</f>
        <v>4.5663755613034436E-2</v>
      </c>
      <c r="AP82" s="62">
        <f>IFERROR(SUMIFS(T_MLD[Muro m2],T_MLD[Codigo],T_Info[[#This Row],[Codigo]])/T_Info[[#This Row],[Superficie m2]],)</f>
        <v>1.1743136843685962</v>
      </c>
      <c r="AQ82" s="62">
        <f>IFERROR((SUMIFS(T_MLD[Viga Lat m2],T_MLD[Codigo],T_Info[[#This Row],[Codigo]])+SUMIFS(T_MLD[Viga Fondo m2],T_MLD[Codigo],T_Info[[#This Row],[Codigo]]))/T_Info[[#This Row],[Superficie m2]],)</f>
        <v>0.19001248827336475</v>
      </c>
      <c r="AR82" s="77">
        <f>IFERROR((SUMIFS(T_MLD[Losa Fondo m2],T_MLD[Codigo],T_Info[[#This Row],[Codigo]])+SUMIFS(T_MLD[Rebalse m2],T_MLD[Codigo],T_Info[[#This Row],[Codigo]]))/T_Info[[#This Row],[Superficie m2]],)</f>
        <v>0.96742692375076289</v>
      </c>
    </row>
    <row r="83" spans="1:44" x14ac:dyDescent="0.25">
      <c r="A83" s="110">
        <v>82</v>
      </c>
      <c r="B83" s="71">
        <v>22016</v>
      </c>
      <c r="C83" s="72" t="s">
        <v>249</v>
      </c>
      <c r="D83" s="108" t="s">
        <v>252</v>
      </c>
      <c r="E83" s="73" t="s">
        <v>80</v>
      </c>
      <c r="F83" s="71">
        <v>2</v>
      </c>
      <c r="G83" s="71">
        <v>11</v>
      </c>
      <c r="H83" s="71">
        <v>0</v>
      </c>
      <c r="I83" s="60">
        <v>3822.1</v>
      </c>
      <c r="J83" s="75" t="s">
        <v>195</v>
      </c>
      <c r="K83" s="75" t="s">
        <v>195</v>
      </c>
      <c r="L83" s="72" t="s">
        <v>194</v>
      </c>
      <c r="M83" s="59">
        <f>SUMIFS(T_Fe[Total kg],T_Fe[Codigo],T_Info[[#This Row],[Codigo]])</f>
        <v>99286.310330640015</v>
      </c>
      <c r="N83" s="60">
        <f>SUMIFS(T_HA[Total m3],T_HA[Codigo],T_Info[[#This Row],[Codigo]])</f>
        <v>1111.25332</v>
      </c>
      <c r="O83" s="61">
        <f>SUMIFS(T_MLD[Total m2],T_MLD[Codigo],T_Info[[#This Row],[Codigo]])</f>
        <v>10003.110000000004</v>
      </c>
      <c r="P83" s="76">
        <f>IFERROR(T_Info[[#This Row],[Fe (kg)]]/T_Info[[#This Row],[HA (m3)]],)</f>
        <v>89.346244050492473</v>
      </c>
      <c r="Q83" s="62">
        <f>IFERROR(T_Info[[#This Row],[Fe (kg)]]/T_Info[[#This Row],[Superficie m2]],)</f>
        <v>25.976900219941921</v>
      </c>
      <c r="R83" s="62">
        <f>IFERROR(T_Info[[#This Row],[HA (m3)]]/T_Info[[#This Row],[Superficie m2]],)</f>
        <v>0.29074417728473878</v>
      </c>
      <c r="S83" s="62">
        <f>IFERROR(T_Info[[#This Row],[HA (m3)]]/T_Info[[#This Row],[MLD (m2)]],)</f>
        <v>0.11109078276655955</v>
      </c>
      <c r="T83" s="77">
        <f>IFERROR(T_Info[[#This Row],[MLD (m2)]]/T_Info[[#This Row],[Superficie m2]],)</f>
        <v>2.6171764213390558</v>
      </c>
      <c r="U83" s="76">
        <f>IFERROR(SUMIFS(T_Fe[Fund kg],T_Fe[Codigo],T_Info[[#This Row],[Codigo]])/SUMIFS(T_HA[Fund m3],T_HA[Codigo],T_Info[[#This Row],[Codigo]]),)</f>
        <v>13.893374549078933</v>
      </c>
      <c r="V83" s="62">
        <f>IFERROR(SUMIFS(T_Fe[Grua kg],T_Fe[Codigo],T_Info[[#This Row],[Codigo]])/SUMIFS(T_HA[Grua m3],T_HA[Codigo],T_Info[[#This Row],[Codigo]]),)</f>
        <v>0</v>
      </c>
      <c r="W83" s="62">
        <f>IFERROR(SUMIFS(T_Fe[Muros kg],T_Fe[Codigo],T_Info[[#This Row],[Codigo]])/SUMIFS(T_HA[Muros Int m3],T_HA[Codigo],T_Info[[#This Row],[Codigo]]),)</f>
        <v>87.373630750846431</v>
      </c>
      <c r="X83" s="62">
        <f>IFERROR(SUMIFS(T_Fe[Perimetrales kg],T_Fe[Codigo],T_Info[[#This Row],[Codigo]])/SUMIFS(T_HA[Perimetrales m3],T_HA[Codigo],T_Info[[#This Row],[Codigo]]),)</f>
        <v>0</v>
      </c>
      <c r="Y83" s="62">
        <f>IFERROR(SUMIFS(T_Fe[Vigas kg],T_Fe[Codigo],T_Info[[#This Row],[Codigo]])/SUMIFS(T_HA[Vigas m3],T_HA[Codigo],T_Info[[#This Row],[Codigo]]),)</f>
        <v>253.97181294042275</v>
      </c>
      <c r="Z83" s="77">
        <f>IFERROR(SUMIFS(T_Fe[Losas kg],T_Fe[Codigo],T_Info[[#This Row],[Codigo]])/SUMIFS(T_HA[Losas m3],T_HA[Codigo],T_Info[[#This Row],[Codigo]]),)</f>
        <v>93.110022305683188</v>
      </c>
      <c r="AA83" s="76">
        <f>SUMIFS(T_Fe[Fund kg/m2],T_Fe[Codigo],T_Info[[#This Row],[Codigo]])</f>
        <v>0.2092675682976568</v>
      </c>
      <c r="AB83" s="62">
        <f>SUMIFS(T_Fe[Muros kg/m2],T_Fe[Codigo],T_Info[[#This Row],[Codigo]])</f>
        <v>11.478061798487744</v>
      </c>
      <c r="AC83" s="62">
        <f>SUMIFS(T_Fe[Perimetrales kg/m2],T_Fe[Codigo],T_Info[[#This Row],[Codigo]])</f>
        <v>0</v>
      </c>
      <c r="AD83" s="62">
        <f>SUMIFS(T_Fe[Vigas kg/m2],T_Fe[Codigo],T_Info[[#This Row],[Codigo]])</f>
        <v>1.0372570053112165</v>
      </c>
      <c r="AE83" s="77">
        <f>SUMIFS(T_Fe[Losas kg/m2],T_Fe[Codigo],T_Info[[#This Row],[Codigo]])</f>
        <v>12.778053949399546</v>
      </c>
      <c r="AF83" s="76">
        <f>IFERROR(SUMIFS(T_HA[Fund m3/m2],T_HA[Codigo],T_Info[[#This Row],[Codigo]]),)</f>
        <v>1.506240025117082E-2</v>
      </c>
      <c r="AG83" s="62">
        <f>IFERROR(SUMIFS(T_HA[Muros Int m3/m2],T_HA[Codigo],T_Info[[#This Row],[Codigo]]),)</f>
        <v>0.13136757280029307</v>
      </c>
      <c r="AH83" s="62">
        <f>IFERROR(SUMIFS(T_HA[Perimetrales m3/m2],T_HA[Codigo],T_Info[[#This Row],[Codigo]]),)</f>
        <v>0</v>
      </c>
      <c r="AI83" s="62">
        <f>IFERROR(SUMIFS(T_HA[Vigas m3/m2],T_HA[Codigo],T_Info[[#This Row],[Codigo]]),)</f>
        <v>4.0841422254781412E-3</v>
      </c>
      <c r="AJ83" s="77">
        <f>IFERROR(SUMIFS(T_HA[Losas m3/m2],T_HA[Codigo],T_Info[[#This Row],[Codigo]]),)</f>
        <v>0.13723607440935612</v>
      </c>
      <c r="AK83" s="62">
        <f>IFERROR(SUMIFS(T_HA[Fund m3],T_HA[Codigo],T_Info[[#This Row],[Codigo]])/SUMIFS(T_MLD[Fund Lat m2],T_MLD[Codigo],T_Info[[#This Row],[Codigo]]),)</f>
        <v>0.30926672038678521</v>
      </c>
      <c r="AL83" s="62">
        <f>IFERROR(SUMIFS(T_HA[Muros m3],T_HA[Codigo],T_Info[[#This Row],[Codigo]])/SUMIFS(T_MLD[Muro m2],T_MLD[Codigo],T_Info[[#This Row],[Codigo]]),)</f>
        <v>8.5394641958175102E-2</v>
      </c>
      <c r="AM83" s="62">
        <f>IFERROR(SUMIFS(T_HA[Vigas m3],T_HA[Codigo],T_Info[[#This Row],[Codigo]])/(SUMIFS(T_MLD[Viga Lat m2],T_MLD[Codigo],T_Info[[#This Row],[Codigo]])+SUMIFS(T_MLD[Viga Fondo m2],T_MLD[Codigo],T_Info[[#This Row],[Codigo]])),)</f>
        <v>9.6108853589459434E-2</v>
      </c>
      <c r="AN83" s="62">
        <f>IFERROR(SUMIFS(T_HA[Losas m3],T_HA[Codigo],T_Info[[#This Row],[Codigo]])/(SUMIFS(T_MLD[Losa Fondo m2],T_MLD[Codigo],T_Info[[#This Row],[Codigo]])+SUMIFS(T_MLD[Rebalse m2],T_MLD[Codigo],T_Info[[#This Row],[Codigo]])),)</f>
        <v>0.13895644249466196</v>
      </c>
      <c r="AO83" s="76">
        <f>IFERROR(SUMIFS(T_MLD[Fund Lat m2],T_MLD[Codigo],T_Info[[#This Row],[Codigo]])/T_Info[[#This Row],[Superficie m2]],)</f>
        <v>4.8703592266031707E-2</v>
      </c>
      <c r="AP83" s="62">
        <f>IFERROR(SUMIFS(T_MLD[Muro m2],T_MLD[Codigo],T_Info[[#This Row],[Codigo]])/T_Info[[#This Row],[Superficie m2]],)</f>
        <v>1.5383584940216126</v>
      </c>
      <c r="AQ83" s="62">
        <f>IFERROR((SUMIFS(T_MLD[Viga Lat m2],T_MLD[Codigo],T_Info[[#This Row],[Codigo]])+SUMIFS(T_MLD[Viga Fondo m2],T_MLD[Codigo],T_Info[[#This Row],[Codigo]]))/T_Info[[#This Row],[Superficie m2]],)</f>
        <v>4.2494963501739889E-2</v>
      </c>
      <c r="AR83" s="77">
        <f>IFERROR((SUMIFS(T_MLD[Losa Fondo m2],T_MLD[Codigo],T_Info[[#This Row],[Codigo]])+SUMIFS(T_MLD[Rebalse m2],T_MLD[Codigo],T_Info[[#This Row],[Codigo]]))/T_Info[[#This Row],[Superficie m2]],)</f>
        <v>0.9876193715496715</v>
      </c>
    </row>
    <row r="84" spans="1:44" x14ac:dyDescent="0.25">
      <c r="A84" s="110">
        <v>83</v>
      </c>
      <c r="B84" s="71">
        <v>22017</v>
      </c>
      <c r="C84" s="72" t="s">
        <v>251</v>
      </c>
      <c r="D84" s="108" t="s">
        <v>252</v>
      </c>
      <c r="E84" s="73" t="s">
        <v>80</v>
      </c>
      <c r="F84" s="71">
        <v>2</v>
      </c>
      <c r="G84" s="71">
        <v>11</v>
      </c>
      <c r="H84" s="71">
        <v>0</v>
      </c>
      <c r="I84" s="60">
        <v>4581.3</v>
      </c>
      <c r="J84" s="75" t="s">
        <v>195</v>
      </c>
      <c r="K84" s="75" t="s">
        <v>195</v>
      </c>
      <c r="L84" s="72" t="s">
        <v>194</v>
      </c>
      <c r="M84" s="59">
        <f>SUMIFS(T_Fe[Total kg],T_Fe[Codigo],T_Info[[#This Row],[Codigo]])</f>
        <v>115672.46947708611</v>
      </c>
      <c r="N84" s="60">
        <f>SUMIFS(T_HA[Total m3],T_HA[Codigo],T_Info[[#This Row],[Codigo]])</f>
        <v>1310.8000000000002</v>
      </c>
      <c r="O84" s="61">
        <f>SUMIFS(T_MLD[Total m2],T_MLD[Codigo],T_Info[[#This Row],[Codigo]])</f>
        <v>11856.72999999991</v>
      </c>
      <c r="P84" s="76">
        <f>IFERROR(T_Info[[#This Row],[Fe (kg)]]/T_Info[[#This Row],[HA (m3)]],)</f>
        <v>88.245704514102911</v>
      </c>
      <c r="Q84" s="62">
        <f>IFERROR(T_Info[[#This Row],[Fe (kg)]]/T_Info[[#This Row],[Superficie m2]],)</f>
        <v>25.248831003664048</v>
      </c>
      <c r="R84" s="62">
        <f>IFERROR(T_Info[[#This Row],[HA (m3)]]/T_Info[[#This Row],[Superficie m2]],)</f>
        <v>0.28611966035841357</v>
      </c>
      <c r="S84" s="62">
        <f>IFERROR(T_Info[[#This Row],[HA (m3)]]/T_Info[[#This Row],[MLD (m2)]],)</f>
        <v>0.11055324697450394</v>
      </c>
      <c r="T84" s="77">
        <f>IFERROR(T_Info[[#This Row],[MLD (m2)]]/T_Info[[#This Row],[Superficie m2]],)</f>
        <v>2.5880710715298956</v>
      </c>
      <c r="U84" s="76">
        <f>IFERROR(SUMIFS(T_Fe[Fund kg],T_Fe[Codigo],T_Info[[#This Row],[Codigo]])/SUMIFS(T_HA[Fund m3],T_HA[Codigo],T_Info[[#This Row],[Codigo]]),)</f>
        <v>14.091537795547161</v>
      </c>
      <c r="V84" s="62">
        <f>IFERROR(SUMIFS(T_Fe[Grua kg],T_Fe[Codigo],T_Info[[#This Row],[Codigo]])/SUMIFS(T_HA[Grua m3],T_HA[Codigo],T_Info[[#This Row],[Codigo]]),)</f>
        <v>0</v>
      </c>
      <c r="W84" s="62">
        <f>IFERROR(SUMIFS(T_Fe[Muros kg],T_Fe[Codigo],T_Info[[#This Row],[Codigo]])/SUMIFS(T_HA[Muros Int m3],T_HA[Codigo],T_Info[[#This Row],[Codigo]]),)</f>
        <v>89.059324193457371</v>
      </c>
      <c r="X84" s="62">
        <f>IFERROR(SUMIFS(T_Fe[Perimetrales kg],T_Fe[Codigo],T_Info[[#This Row],[Codigo]])/SUMIFS(T_HA[Perimetrales m3],T_HA[Codigo],T_Info[[#This Row],[Codigo]]),)</f>
        <v>0</v>
      </c>
      <c r="Y84" s="62">
        <f>IFERROR(SUMIFS(T_Fe[Vigas kg],T_Fe[Codigo],T_Info[[#This Row],[Codigo]])/SUMIFS(T_HA[Vigas m3],T_HA[Codigo],T_Info[[#This Row],[Codigo]]),)</f>
        <v>269.09175778480744</v>
      </c>
      <c r="Z84" s="77">
        <f>IFERROR(SUMIFS(T_Fe[Losas kg],T_Fe[Codigo],T_Info[[#This Row],[Codigo]])/SUMIFS(T_HA[Losas m3],T_HA[Codigo],T_Info[[#This Row],[Codigo]]),)</f>
        <v>88.732982081928995</v>
      </c>
      <c r="AA84" s="76">
        <f>SUMIFS(T_Fe[Fund kg/m2],T_Fe[Codigo],T_Info[[#This Row],[Codigo]])</f>
        <v>0.20393097065129476</v>
      </c>
      <c r="AB84" s="62">
        <f>SUMIFS(T_Fe[Muros kg/m2],T_Fe[Codigo],T_Info[[#This Row],[Codigo]])</f>
        <v>11.335317909153515</v>
      </c>
      <c r="AC84" s="62">
        <f>SUMIFS(T_Fe[Perimetrales kg/m2],T_Fe[Codigo],T_Info[[#This Row],[Codigo]])</f>
        <v>0</v>
      </c>
      <c r="AD84" s="62">
        <f>SUMIFS(T_Fe[Vigas kg/m2],T_Fe[Codigo],T_Info[[#This Row],[Codigo]])</f>
        <v>1.0807605577544488</v>
      </c>
      <c r="AE84" s="77">
        <f>SUMIFS(T_Fe[Losas kg/m2],T_Fe[Codigo],T_Info[[#This Row],[Codigo]])</f>
        <v>12.233154668532153</v>
      </c>
      <c r="AF84" s="76">
        <f>IFERROR(SUMIFS(T_HA[Fund m3/m2],T_HA[Codigo],T_Info[[#This Row],[Codigo]]),)</f>
        <v>1.447187479536376E-2</v>
      </c>
      <c r="AG84" s="62">
        <f>IFERROR(SUMIFS(T_HA[Muros Int m3/m2],T_HA[Codigo],T_Info[[#This Row],[Codigo]]),)</f>
        <v>0.12727828345666078</v>
      </c>
      <c r="AH84" s="62">
        <f>IFERROR(SUMIFS(T_HA[Perimetrales m3/m2],T_HA[Codigo],T_Info[[#This Row],[Codigo]]),)</f>
        <v>0</v>
      </c>
      <c r="AI84" s="62">
        <f>IFERROR(SUMIFS(T_HA[Vigas m3/m2],T_HA[Codigo],T_Info[[#This Row],[Codigo]]),)</f>
        <v>4.0163272433588713E-3</v>
      </c>
      <c r="AJ84" s="77">
        <f>IFERROR(SUMIFS(T_HA[Losas m3/m2],T_HA[Codigo],T_Info[[#This Row],[Codigo]]),)</f>
        <v>0.13786479820138389</v>
      </c>
      <c r="AK84" s="62">
        <f>IFERROR(SUMIFS(T_HA[Fund m3],T_HA[Codigo],T_Info[[#This Row],[Codigo]])/SUMIFS(T_MLD[Fund Lat m2],T_MLD[Codigo],T_Info[[#This Row],[Codigo]]),)</f>
        <v>0.3087598379360128</v>
      </c>
      <c r="AL84" s="62">
        <f>IFERROR(SUMIFS(T_HA[Muros m3],T_HA[Codigo],T_Info[[#This Row],[Codigo]])/SUMIFS(T_MLD[Muro m2],T_MLD[Codigo],T_Info[[#This Row],[Codigo]]),)</f>
        <v>8.409517999483801E-2</v>
      </c>
      <c r="AM84" s="62">
        <f>IFERROR(SUMIFS(T_HA[Vigas m3],T_HA[Codigo],T_Info[[#This Row],[Codigo]])/(SUMIFS(T_MLD[Viga Lat m2],T_MLD[Codigo],T_Info[[#This Row],[Codigo]])+SUMIFS(T_MLD[Viga Fondo m2],T_MLD[Codigo],T_Info[[#This Row],[Codigo]])),)</f>
        <v>9.5243025001294099E-2</v>
      </c>
      <c r="AN84" s="62">
        <f>IFERROR(SUMIFS(T_HA[Losas m3],T_HA[Codigo],T_Info[[#This Row],[Codigo]])/(SUMIFS(T_MLD[Losa Fondo m2],T_MLD[Codigo],T_Info[[#This Row],[Codigo]])+SUMIFS(T_MLD[Rebalse m2],T_MLD[Codigo],T_Info[[#This Row],[Codigo]])),)</f>
        <v>0.13988925802879285</v>
      </c>
      <c r="AO84" s="76">
        <f>IFERROR(SUMIFS(T_MLD[Fund Lat m2],T_MLD[Codigo],T_Info[[#This Row],[Codigo]])/T_Info[[#This Row],[Superficie m2]],)</f>
        <v>4.6870975487307072E-2</v>
      </c>
      <c r="AP84" s="62">
        <f>IFERROR(SUMIFS(T_MLD[Muro m2],T_MLD[Codigo],T_Info[[#This Row],[Codigo]])/T_Info[[#This Row],[Superficie m2]],)</f>
        <v>1.5135027175692288</v>
      </c>
      <c r="AQ84" s="62">
        <f>IFERROR((SUMIFS(T_MLD[Viga Lat m2],T_MLD[Codigo],T_Info[[#This Row],[Codigo]])+SUMIFS(T_MLD[Viga Fondo m2],T_MLD[Codigo],T_Info[[#This Row],[Codigo]]))/T_Info[[#This Row],[Superficie m2]],)</f>
        <v>4.2169253268722832E-2</v>
      </c>
      <c r="AR84" s="77">
        <f>IFERROR((SUMIFS(T_MLD[Losa Fondo m2],T_MLD[Codigo],T_Info[[#This Row],[Codigo]])+SUMIFS(T_MLD[Rebalse m2],T_MLD[Codigo],T_Info[[#This Row],[Codigo]]))/T_Info[[#This Row],[Superficie m2]],)</f>
        <v>0.98552812520463684</v>
      </c>
    </row>
    <row r="85" spans="1:44" x14ac:dyDescent="0.25">
      <c r="A85" s="110">
        <v>84</v>
      </c>
      <c r="B85" s="71">
        <v>20021</v>
      </c>
      <c r="C85" s="72" t="s">
        <v>253</v>
      </c>
      <c r="D85" s="108" t="s">
        <v>254</v>
      </c>
      <c r="E85" s="73" t="s">
        <v>80</v>
      </c>
      <c r="F85" s="71">
        <v>2</v>
      </c>
      <c r="G85" s="71">
        <v>12</v>
      </c>
      <c r="H85" s="71">
        <v>2</v>
      </c>
      <c r="I85" s="60">
        <v>12548.419999999998</v>
      </c>
      <c r="J85" s="75" t="s">
        <v>195</v>
      </c>
      <c r="K85" s="75" t="s">
        <v>195</v>
      </c>
      <c r="L85" s="72" t="s">
        <v>194</v>
      </c>
      <c r="M85" s="59">
        <f>SUMIFS(T_Fe[Total kg],T_Fe[Codigo],T_Info[[#This Row],[Codigo]])</f>
        <v>418343.19099348452</v>
      </c>
      <c r="N85" s="60">
        <f>SUMIFS(T_HA[Total m3],T_HA[Codigo],T_Info[[#This Row],[Codigo]])</f>
        <v>4448.1899999999969</v>
      </c>
      <c r="O85" s="61">
        <f>SUMIFS(T_MLD[Total m2],T_MLD[Codigo],T_Info[[#This Row],[Codigo]])</f>
        <v>31284.459999999992</v>
      </c>
      <c r="P85" s="76">
        <f>IFERROR(T_Info[[#This Row],[Fe (kg)]]/T_Info[[#This Row],[HA (m3)]],)</f>
        <v>94.047959056039602</v>
      </c>
      <c r="Q85" s="62">
        <f>IFERROR(T_Info[[#This Row],[Fe (kg)]]/T_Info[[#This Row],[Superficie m2]],)</f>
        <v>33.338315978703662</v>
      </c>
      <c r="R85" s="62">
        <f>IFERROR(T_Info[[#This Row],[HA (m3)]]/T_Info[[#This Row],[Superficie m2]],)</f>
        <v>0.35448207822179983</v>
      </c>
      <c r="S85" s="62">
        <f>IFERROR(T_Info[[#This Row],[HA (m3)]]/T_Info[[#This Row],[MLD (m2)]],)</f>
        <v>0.14218528943763128</v>
      </c>
      <c r="T85" s="77">
        <f>IFERROR(T_Info[[#This Row],[MLD (m2)]]/T_Info[[#This Row],[Superficie m2]],)</f>
        <v>2.4930995296619014</v>
      </c>
      <c r="U85" s="76">
        <f>IFERROR(SUMIFS(T_Fe[Fund kg],T_Fe[Codigo],T_Info[[#This Row],[Codigo]])/SUMIFS(T_HA[Fund m3],T_HA[Codigo],T_Info[[#This Row],[Codigo]]),)</f>
        <v>36.017250398828246</v>
      </c>
      <c r="V85" s="62">
        <f>IFERROR(SUMIFS(T_Fe[Grua kg],T_Fe[Codigo],T_Info[[#This Row],[Codigo]])/SUMIFS(T_HA[Grua m3],T_HA[Codigo],T_Info[[#This Row],[Codigo]]),)</f>
        <v>0</v>
      </c>
      <c r="W85" s="62">
        <f>IFERROR(SUMIFS(T_Fe[Muros kg],T_Fe[Codigo],T_Info[[#This Row],[Codigo]])/SUMIFS(T_HA[Muros Int m3],T_HA[Codigo],T_Info[[#This Row],[Codigo]]),)</f>
        <v>86.027336564815599</v>
      </c>
      <c r="X85" s="62">
        <f>IFERROR(SUMIFS(T_Fe[Perimetrales kg],T_Fe[Codigo],T_Info[[#This Row],[Codigo]])/SUMIFS(T_HA[Perimetrales m3],T_HA[Codigo],T_Info[[#This Row],[Codigo]]),)</f>
        <v>93.205049333506111</v>
      </c>
      <c r="Y85" s="62">
        <f>IFERROR(SUMIFS(T_Fe[Vigas kg],T_Fe[Codigo],T_Info[[#This Row],[Codigo]])/SUMIFS(T_HA[Vigas m3],T_HA[Codigo],T_Info[[#This Row],[Codigo]]),)</f>
        <v>175.27360885231894</v>
      </c>
      <c r="Z85" s="77">
        <f>IFERROR(SUMIFS(T_Fe[Losas kg],T_Fe[Codigo],T_Info[[#This Row],[Codigo]])/SUMIFS(T_HA[Losas m3],T_HA[Codigo],T_Info[[#This Row],[Codigo]]),)</f>
        <v>97.981030222041611</v>
      </c>
      <c r="AA85" s="76">
        <f>SUMIFS(T_Fe[Fund kg/m2],T_Fe[Codigo],T_Info[[#This Row],[Codigo]])</f>
        <v>0.86156648025936955</v>
      </c>
      <c r="AB85" s="62">
        <f>SUMIFS(T_Fe[Muros kg/m2],T_Fe[Codigo],T_Info[[#This Row],[Codigo]])</f>
        <v>11.157265150973167</v>
      </c>
      <c r="AC85" s="62">
        <f>SUMIFS(T_Fe[Perimetrales kg/m2],T_Fe[Codigo],T_Info[[#This Row],[Codigo]])</f>
        <v>0.65675124534153395</v>
      </c>
      <c r="AD85" s="62">
        <f>SUMIFS(T_Fe[Vigas kg/m2],T_Fe[Codigo],T_Info[[#This Row],[Codigo]])</f>
        <v>3.7915547234601692</v>
      </c>
      <c r="AE85" s="77">
        <f>SUMIFS(T_Fe[Losas kg/m2],T_Fe[Codigo],T_Info[[#This Row],[Codigo]])</f>
        <v>16.87117837866942</v>
      </c>
      <c r="AF85" s="76">
        <f>IFERROR(SUMIFS(T_HA[Fund m3/m2],T_HA[Codigo],T_Info[[#This Row],[Codigo]]),)</f>
        <v>2.3920939847407095E-2</v>
      </c>
      <c r="AG85" s="62">
        <f>IFERROR(SUMIFS(T_HA[Muros Int m3/m2],T_HA[Codigo],T_Info[[#This Row],[Codigo]]),)</f>
        <v>0.12969441571130061</v>
      </c>
      <c r="AH85" s="62">
        <f>IFERROR(SUMIFS(T_HA[Perimetrales m3/m2],T_HA[Codigo],T_Info[[#This Row],[Codigo]]),)</f>
        <v>7.0463054312813892E-3</v>
      </c>
      <c r="AI85" s="62">
        <f>IFERROR(SUMIFS(T_HA[Vigas m3/m2],T_HA[Codigo],T_Info[[#This Row],[Codigo]]),)</f>
        <v>2.1632205488818546E-2</v>
      </c>
      <c r="AJ85" s="77">
        <f>IFERROR(SUMIFS(T_HA[Losas m3/m2],T_HA[Codigo],T_Info[[#This Row],[Codigo]]),)</f>
        <v>0.17218821174299223</v>
      </c>
      <c r="AK85" s="62">
        <f>IFERROR(SUMIFS(T_HA[Fund m3],T_HA[Codigo],T_Info[[#This Row],[Codigo]])/SUMIFS(T_MLD[Fund Lat m2],T_MLD[Codigo],T_Info[[#This Row],[Codigo]]),)</f>
        <v>0.46672575178032832</v>
      </c>
      <c r="AL85" s="62">
        <f>IFERROR(SUMIFS(T_HA[Muros m3],T_HA[Codigo],T_Info[[#This Row],[Codigo]])/SUMIFS(T_MLD[Muro m2],T_MLD[Codigo],T_Info[[#This Row],[Codigo]]),)</f>
        <v>0.1095255603045482</v>
      </c>
      <c r="AM85" s="62">
        <f>IFERROR(SUMIFS(T_HA[Vigas m3],T_HA[Codigo],T_Info[[#This Row],[Codigo]])/(SUMIFS(T_MLD[Viga Lat m2],T_MLD[Codigo],T_Info[[#This Row],[Codigo]])+SUMIFS(T_MLD[Viga Fondo m2],T_MLD[Codigo],T_Info[[#This Row],[Codigo]])),)</f>
        <v>9.966954286763402E-2</v>
      </c>
      <c r="AN85" s="62">
        <f>IFERROR(SUMIFS(T_HA[Losas m3],T_HA[Codigo],T_Info[[#This Row],[Codigo]])/(SUMIFS(T_MLD[Losa Fondo m2],T_MLD[Codigo],T_Info[[#This Row],[Codigo]])+SUMIFS(T_MLD[Rebalse m2],T_MLD[Codigo],T_Info[[#This Row],[Codigo]])),)</f>
        <v>0.17636356512838589</v>
      </c>
      <c r="AO85" s="76">
        <f>IFERROR(SUMIFS(T_MLD[Fund Lat m2],T_MLD[Codigo],T_Info[[#This Row],[Codigo]])/T_Info[[#This Row],[Superficie m2]],)</f>
        <v>5.1252667666526905E-2</v>
      </c>
      <c r="AP85" s="62">
        <f>IFERROR(SUMIFS(T_MLD[Muro m2],T_MLD[Codigo],T_Info[[#This Row],[Codigo]])/T_Info[[#This Row],[Superficie m2]],)</f>
        <v>1.2484822790438961</v>
      </c>
      <c r="AQ85" s="62">
        <f>IFERROR((SUMIFS(T_MLD[Viga Lat m2],T_MLD[Codigo],T_Info[[#This Row],[Codigo]])+SUMIFS(T_MLD[Viga Fondo m2],T_MLD[Codigo],T_Info[[#This Row],[Codigo]]))/T_Info[[#This Row],[Superficie m2]],)</f>
        <v>0.21703927665793715</v>
      </c>
      <c r="AR85" s="77">
        <f>IFERROR((SUMIFS(T_MLD[Losa Fondo m2],T_MLD[Codigo],T_Info[[#This Row],[Codigo]])+SUMIFS(T_MLD[Rebalse m2],T_MLD[Codigo],T_Info[[#This Row],[Codigo]]))/T_Info[[#This Row],[Superficie m2]],)</f>
        <v>0.97632530629354108</v>
      </c>
    </row>
    <row r="100" spans="3:3" x14ac:dyDescent="0.25">
      <c r="C100" s="6" t="s">
        <v>187</v>
      </c>
    </row>
    <row r="101" spans="3:3" x14ac:dyDescent="0.25">
      <c r="C101" s="6" t="s">
        <v>188</v>
      </c>
    </row>
    <row r="102" spans="3:3" x14ac:dyDescent="0.25">
      <c r="C102" s="6" t="s">
        <v>189</v>
      </c>
    </row>
    <row r="103" spans="3:3" x14ac:dyDescent="0.25">
      <c r="C103" s="6" t="s">
        <v>190</v>
      </c>
    </row>
  </sheetData>
  <phoneticPr fontId="4" type="noConversion"/>
  <conditionalFormatting sqref="A2:A85">
    <cfRule type="duplicateValues" dxfId="3" priority="97"/>
  </conditionalFormatting>
  <conditionalFormatting sqref="B2:B85">
    <cfRule type="duplicateValues" dxfId="2" priority="98"/>
  </conditionalFormatting>
  <conditionalFormatting sqref="P2:P85">
    <cfRule type="dataBar" priority="99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{3FE303D4-9280-4B95-9127-3E96F2F870F2}</x14:id>
        </ext>
      </extLst>
    </cfRule>
  </conditionalFormatting>
  <conditionalFormatting sqref="Q2:Q85">
    <cfRule type="dataBar" priority="10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{5E847ECA-257E-4281-AC69-633FA5D792A3}</x14:id>
        </ext>
      </extLst>
    </cfRule>
  </conditionalFormatting>
  <conditionalFormatting sqref="R2:R85">
    <cfRule type="dataBar" priority="10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{D3D30D61-559E-4F54-BA63-8EB7B331321C}</x14:id>
        </ext>
      </extLst>
    </cfRule>
  </conditionalFormatting>
  <conditionalFormatting sqref="U2:U85">
    <cfRule type="dataBar" priority="10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{12290A46-2B23-41D1-835C-4198796880EE}</x14:id>
        </ext>
      </extLst>
    </cfRule>
  </conditionalFormatting>
  <conditionalFormatting sqref="W2:W85">
    <cfRule type="dataBar" priority="10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{B6B6B00B-BA2C-475F-B6E8-375823D76BD5}</x14:id>
        </ext>
      </extLst>
    </cfRule>
  </conditionalFormatting>
  <conditionalFormatting sqref="X2:X85">
    <cfRule type="dataBar" priority="10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{422D32D5-433E-4625-8058-A4CCDA466339}</x14:id>
        </ext>
      </extLst>
    </cfRule>
  </conditionalFormatting>
  <conditionalFormatting sqref="Y2:Y85">
    <cfRule type="dataBar" priority="10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{0CC098E8-566C-4D19-9B26-8F3F5CA266F6}</x14:id>
        </ext>
      </extLst>
    </cfRule>
  </conditionalFormatting>
  <conditionalFormatting sqref="Z2:Z85">
    <cfRule type="dataBar" priority="10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{20CC46D1-CAC5-4CA3-A974-5A7A3FB90AAB}</x14:id>
        </ext>
      </extLst>
    </cfRule>
  </conditionalFormatting>
  <conditionalFormatting sqref="AA2:AA85">
    <cfRule type="dataBar" priority="10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{09CAD145-1169-4BC9-B866-6F7CE18725E9}</x14:id>
        </ext>
      </extLst>
    </cfRule>
  </conditionalFormatting>
  <conditionalFormatting sqref="AB2:AB85">
    <cfRule type="dataBar" priority="10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{F2D45DE4-98B8-4682-8B66-464445B97678}</x14:id>
        </ext>
      </extLst>
    </cfRule>
  </conditionalFormatting>
  <conditionalFormatting sqref="AC2:AC85">
    <cfRule type="dataBar" priority="10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{3BF6CF20-D0BC-49F9-AA7C-78D96E22DEC4}</x14:id>
        </ext>
      </extLst>
    </cfRule>
  </conditionalFormatting>
  <conditionalFormatting sqref="AD2:AD85">
    <cfRule type="dataBar" priority="11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{8E7AF890-58E1-4472-A0E4-EF3B29673E02}</x14:id>
        </ext>
      </extLst>
    </cfRule>
  </conditionalFormatting>
  <conditionalFormatting sqref="AF2:AF85">
    <cfRule type="dataBar" priority="11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{8A375B69-4B25-4C27-9405-C4FA6FE16B11}</x14:id>
        </ext>
      </extLst>
    </cfRule>
  </conditionalFormatting>
  <conditionalFormatting sqref="AG2:AG85">
    <cfRule type="dataBar" priority="112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{C4522101-5A46-4751-863A-78AC1FEC0F9E}</x14:id>
        </ext>
      </extLst>
    </cfRule>
  </conditionalFormatting>
  <conditionalFormatting sqref="AH2:AH85">
    <cfRule type="dataBar" priority="113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{6DB713C0-0ADA-48A8-A8FE-359C08BC8768}</x14:id>
        </ext>
      </extLst>
    </cfRule>
  </conditionalFormatting>
  <conditionalFormatting sqref="AI2:AI85">
    <cfRule type="dataBar" priority="114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{6A4DA0A4-048F-4454-9D6E-A367B1FBCA81}</x14:id>
        </ext>
      </extLst>
    </cfRule>
  </conditionalFormatting>
  <conditionalFormatting sqref="T2:T85">
    <cfRule type="dataBar" priority="11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{8EEFFC36-AC65-4F4C-9983-C273B5092A31}</x14:id>
        </ext>
      </extLst>
    </cfRule>
  </conditionalFormatting>
  <conditionalFormatting sqref="S2:S85">
    <cfRule type="dataBar" priority="1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{C07BD39A-673B-47BD-A480-87CE3992F88E}</x14:id>
        </ext>
      </extLst>
    </cfRule>
  </conditionalFormatting>
  <conditionalFormatting sqref="V2:V85">
    <cfRule type="dataBar" priority="11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{507F37CF-4602-4B34-AE9E-339552F87C67}</x14:id>
        </ext>
      </extLst>
    </cfRule>
  </conditionalFormatting>
  <conditionalFormatting sqref="AE2:AE85">
    <cfRule type="dataBar" priority="1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{62903B21-CC55-4130-BDB9-D1C9A46F86BB}</x14:id>
        </ext>
      </extLst>
    </cfRule>
  </conditionalFormatting>
  <conditionalFormatting sqref="AJ2:AJ85">
    <cfRule type="dataBar" priority="119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{516E9D05-8410-4284-BEFC-0340AD60EAC5}</x14:id>
        </ext>
      </extLst>
    </cfRule>
  </conditionalFormatting>
  <conditionalFormatting sqref="AK2:AK85">
    <cfRule type="dataBar" priority="120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{4C0C6E5F-1C06-487F-8688-C370069FFAE0}</x14:id>
        </ext>
      </extLst>
    </cfRule>
  </conditionalFormatting>
  <conditionalFormatting sqref="AL2:AL85">
    <cfRule type="dataBar" priority="121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{15E9962A-4C09-4FD6-85BE-5FE6575909DF}</x14:id>
        </ext>
      </extLst>
    </cfRule>
  </conditionalFormatting>
  <conditionalFormatting sqref="AM2:AM85">
    <cfRule type="dataBar" priority="122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{8DA36923-83F0-487F-ADD4-459B13A6A858}</x14:id>
        </ext>
      </extLst>
    </cfRule>
  </conditionalFormatting>
  <conditionalFormatting sqref="AN2:AN85">
    <cfRule type="dataBar" priority="123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{7F5C90FE-B600-4DE0-BD00-9EC423CD5778}</x14:id>
        </ext>
      </extLst>
    </cfRule>
  </conditionalFormatting>
  <conditionalFormatting sqref="AO2:AO85">
    <cfRule type="dataBar" priority="12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{08A08D69-D442-4577-BB6B-B04169D5C76A}</x14:id>
        </ext>
      </extLst>
    </cfRule>
  </conditionalFormatting>
  <conditionalFormatting sqref="AP2:AP85">
    <cfRule type="dataBar" priority="12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{A1305FEC-E60F-49BD-B2CD-35A667115B98}</x14:id>
        </ext>
      </extLst>
    </cfRule>
  </conditionalFormatting>
  <conditionalFormatting sqref="AQ2:AQ85">
    <cfRule type="dataBar" priority="12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{0CC56F4E-0C86-431A-B9EA-62B32A8F9758}</x14:id>
        </ext>
      </extLst>
    </cfRule>
  </conditionalFormatting>
  <conditionalFormatting sqref="AR2:AR85">
    <cfRule type="dataBar" priority="12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{A41C4E41-16C0-4B64-A96C-272232D4564F}</x14:id>
        </ext>
      </extLst>
    </cfRule>
  </conditionalFormatting>
  <dataValidations count="1">
    <dataValidation type="list" allowBlank="1" showInputMessage="1" showErrorMessage="1" sqref="L2:L85" xr:uid="{22A54AA8-EEB9-4CC4-B75F-2E6F0968F382}">
      <formula1>"Preliminar,APC"</formula1>
    </dataValidation>
  </dataValidations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FE303D4-9280-4B95-9127-3E96F2F870F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P2:P85</xm:sqref>
        </x14:conditionalFormatting>
        <x14:conditionalFormatting xmlns:xm="http://schemas.microsoft.com/office/excel/2006/main">
          <x14:cfRule type="dataBar" id="{5E847ECA-257E-4281-AC69-633FA5D792A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Q2:Q85</xm:sqref>
        </x14:conditionalFormatting>
        <x14:conditionalFormatting xmlns:xm="http://schemas.microsoft.com/office/excel/2006/main">
          <x14:cfRule type="dataBar" id="{D3D30D61-559E-4F54-BA63-8EB7B331321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R2:R85</xm:sqref>
        </x14:conditionalFormatting>
        <x14:conditionalFormatting xmlns:xm="http://schemas.microsoft.com/office/excel/2006/main">
          <x14:cfRule type="dataBar" id="{12290A46-2B23-41D1-835C-4198796880E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U2:U85</xm:sqref>
        </x14:conditionalFormatting>
        <x14:conditionalFormatting xmlns:xm="http://schemas.microsoft.com/office/excel/2006/main">
          <x14:cfRule type="dataBar" id="{B6B6B00B-BA2C-475F-B6E8-375823D76BD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W2:W85</xm:sqref>
        </x14:conditionalFormatting>
        <x14:conditionalFormatting xmlns:xm="http://schemas.microsoft.com/office/excel/2006/main">
          <x14:cfRule type="dataBar" id="{422D32D5-433E-4625-8058-A4CCDA46633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X2:X85</xm:sqref>
        </x14:conditionalFormatting>
        <x14:conditionalFormatting xmlns:xm="http://schemas.microsoft.com/office/excel/2006/main">
          <x14:cfRule type="dataBar" id="{0CC098E8-566C-4D19-9B26-8F3F5CA266F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Y2:Y85</xm:sqref>
        </x14:conditionalFormatting>
        <x14:conditionalFormatting xmlns:xm="http://schemas.microsoft.com/office/excel/2006/main">
          <x14:cfRule type="dataBar" id="{20CC46D1-CAC5-4CA3-A974-5A7A3FB90AA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Z2:Z85</xm:sqref>
        </x14:conditionalFormatting>
        <x14:conditionalFormatting xmlns:xm="http://schemas.microsoft.com/office/excel/2006/main">
          <x14:cfRule type="dataBar" id="{09CAD145-1169-4BC9-B866-6F7CE18725E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AA2:AA85</xm:sqref>
        </x14:conditionalFormatting>
        <x14:conditionalFormatting xmlns:xm="http://schemas.microsoft.com/office/excel/2006/main">
          <x14:cfRule type="dataBar" id="{F2D45DE4-98B8-4682-8B66-464445B9767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AB2:AB85</xm:sqref>
        </x14:conditionalFormatting>
        <x14:conditionalFormatting xmlns:xm="http://schemas.microsoft.com/office/excel/2006/main">
          <x14:cfRule type="dataBar" id="{3BF6CF20-D0BC-49F9-AA7C-78D96E22DEC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AC2:AC85</xm:sqref>
        </x14:conditionalFormatting>
        <x14:conditionalFormatting xmlns:xm="http://schemas.microsoft.com/office/excel/2006/main">
          <x14:cfRule type="dataBar" id="{8E7AF890-58E1-4472-A0E4-EF3B29673E0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AD2:AD85</xm:sqref>
        </x14:conditionalFormatting>
        <x14:conditionalFormatting xmlns:xm="http://schemas.microsoft.com/office/excel/2006/main">
          <x14:cfRule type="dataBar" id="{8A375B69-4B25-4C27-9405-C4FA6FE16B11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AF2:AF85</xm:sqref>
        </x14:conditionalFormatting>
        <x14:conditionalFormatting xmlns:xm="http://schemas.microsoft.com/office/excel/2006/main">
          <x14:cfRule type="dataBar" id="{C4522101-5A46-4751-863A-78AC1FEC0F9E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AG2:AG85</xm:sqref>
        </x14:conditionalFormatting>
        <x14:conditionalFormatting xmlns:xm="http://schemas.microsoft.com/office/excel/2006/main">
          <x14:cfRule type="dataBar" id="{6DB713C0-0ADA-48A8-A8FE-359C08BC8768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AH2:AH85</xm:sqref>
        </x14:conditionalFormatting>
        <x14:conditionalFormatting xmlns:xm="http://schemas.microsoft.com/office/excel/2006/main">
          <x14:cfRule type="dataBar" id="{6A4DA0A4-048F-4454-9D6E-A367B1FBCA81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AI2:AI85</xm:sqref>
        </x14:conditionalFormatting>
        <x14:conditionalFormatting xmlns:xm="http://schemas.microsoft.com/office/excel/2006/main">
          <x14:cfRule type="dataBar" id="{8EEFFC36-AC65-4F4C-9983-C273B5092A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T2:T85</xm:sqref>
        </x14:conditionalFormatting>
        <x14:conditionalFormatting xmlns:xm="http://schemas.microsoft.com/office/excel/2006/main">
          <x14:cfRule type="dataBar" id="{C07BD39A-673B-47BD-A480-87CE3992F8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S2:S85</xm:sqref>
        </x14:conditionalFormatting>
        <x14:conditionalFormatting xmlns:xm="http://schemas.microsoft.com/office/excel/2006/main">
          <x14:cfRule type="dataBar" id="{507F37CF-4602-4B34-AE9E-339552F87C6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V2:V85</xm:sqref>
        </x14:conditionalFormatting>
        <x14:conditionalFormatting xmlns:xm="http://schemas.microsoft.com/office/excel/2006/main">
          <x14:cfRule type="dataBar" id="{62903B21-CC55-4130-BDB9-D1C9A46F86B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AE2:AE85</xm:sqref>
        </x14:conditionalFormatting>
        <x14:conditionalFormatting xmlns:xm="http://schemas.microsoft.com/office/excel/2006/main">
          <x14:cfRule type="dataBar" id="{516E9D05-8410-4284-BEFC-0340AD60EAC5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AJ2:AJ85</xm:sqref>
        </x14:conditionalFormatting>
        <x14:conditionalFormatting xmlns:xm="http://schemas.microsoft.com/office/excel/2006/main">
          <x14:cfRule type="dataBar" id="{4C0C6E5F-1C06-487F-8688-C370069FFAE0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AK2:AK85</xm:sqref>
        </x14:conditionalFormatting>
        <x14:conditionalFormatting xmlns:xm="http://schemas.microsoft.com/office/excel/2006/main">
          <x14:cfRule type="dataBar" id="{15E9962A-4C09-4FD6-85BE-5FE6575909DF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AL2:AL85</xm:sqref>
        </x14:conditionalFormatting>
        <x14:conditionalFormatting xmlns:xm="http://schemas.microsoft.com/office/excel/2006/main">
          <x14:cfRule type="dataBar" id="{8DA36923-83F0-487F-ADD4-459B13A6A858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AM2:AM85</xm:sqref>
        </x14:conditionalFormatting>
        <x14:conditionalFormatting xmlns:xm="http://schemas.microsoft.com/office/excel/2006/main">
          <x14:cfRule type="dataBar" id="{7F5C90FE-B600-4DE0-BD00-9EC423CD5778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AN2:AN85</xm:sqref>
        </x14:conditionalFormatting>
        <x14:conditionalFormatting xmlns:xm="http://schemas.microsoft.com/office/excel/2006/main">
          <x14:cfRule type="dataBar" id="{08A08D69-D442-4577-BB6B-B04169D5C76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AO2:AO85</xm:sqref>
        </x14:conditionalFormatting>
        <x14:conditionalFormatting xmlns:xm="http://schemas.microsoft.com/office/excel/2006/main">
          <x14:cfRule type="dataBar" id="{A1305FEC-E60F-49BD-B2CD-35A667115B9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AP2:AP85</xm:sqref>
        </x14:conditionalFormatting>
        <x14:conditionalFormatting xmlns:xm="http://schemas.microsoft.com/office/excel/2006/main">
          <x14:cfRule type="dataBar" id="{0CC56F4E-0C86-431A-B9EA-62B32A8F975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AQ2:AQ85</xm:sqref>
        </x14:conditionalFormatting>
        <x14:conditionalFormatting xmlns:xm="http://schemas.microsoft.com/office/excel/2006/main">
          <x14:cfRule type="dataBar" id="{A41C4E41-16C0-4B64-A96C-272232D4564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AR2:AR85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0E076A-F437-4E05-9BD3-9C69F2A406B1}">
  <dimension ref="A1:AC85"/>
  <sheetViews>
    <sheetView zoomScale="85" zoomScaleNormal="85" workbookViewId="0">
      <pane xSplit="2" ySplit="1" topLeftCell="C53" activePane="bottomRight" state="frozen"/>
      <selection pane="topRight" activeCell="C1" sqref="C1"/>
      <selection pane="bottomLeft" activeCell="A2" sqref="A2"/>
      <selection pane="bottomRight" activeCell="P92" sqref="P92"/>
    </sheetView>
  </sheetViews>
  <sheetFormatPr defaultColWidth="11.5703125" defaultRowHeight="15" x14ac:dyDescent="0.25"/>
  <cols>
    <col min="1" max="1" width="9.42578125" style="7" bestFit="1" customWidth="1"/>
    <col min="2" max="2" width="25" style="5" bestFit="1" customWidth="1"/>
    <col min="3" max="4" width="6.42578125" style="5" bestFit="1" customWidth="1"/>
    <col min="5" max="6" width="8" style="5" bestFit="1" customWidth="1"/>
    <col min="7" max="7" width="15.140625" style="5" bestFit="1" customWidth="1"/>
    <col min="8" max="8" width="13.5703125" style="5" bestFit="1" customWidth="1"/>
    <col min="9" max="9" width="16.7109375" style="5" bestFit="1" customWidth="1"/>
    <col min="10" max="11" width="10.7109375" style="7" bestFit="1" customWidth="1"/>
    <col min="12" max="12" width="11.85546875" style="7" bestFit="1" customWidth="1"/>
    <col min="13" max="13" width="14.7109375" style="7" bestFit="1" customWidth="1"/>
    <col min="14" max="14" width="17.5703125" style="7" bestFit="1" customWidth="1"/>
    <col min="15" max="15" width="11.28515625" style="7" bestFit="1" customWidth="1"/>
    <col min="16" max="16" width="18.140625" style="7" bestFit="1" customWidth="1"/>
    <col min="17" max="17" width="18.7109375" style="7" bestFit="1" customWidth="1"/>
    <col min="18" max="18" width="11.28515625" style="7" bestFit="1" customWidth="1"/>
    <col min="19" max="19" width="14.42578125" style="7" bestFit="1" customWidth="1"/>
    <col min="20" max="20" width="14.42578125" style="7" customWidth="1"/>
    <col min="21" max="21" width="10.85546875" style="7" bestFit="1" customWidth="1"/>
    <col min="22" max="22" width="13.85546875" style="7" bestFit="1" customWidth="1"/>
    <col min="23" max="23" width="15.140625" style="7" bestFit="1" customWidth="1"/>
    <col min="24" max="24" width="18" style="7" bestFit="1" customWidth="1"/>
    <col min="25" max="25" width="21" style="7" bestFit="1" customWidth="1"/>
    <col min="26" max="27" width="14.42578125" style="7" bestFit="1" customWidth="1"/>
    <col min="28" max="28" width="14.140625" style="7" bestFit="1" customWidth="1"/>
    <col min="29" max="16384" width="11.5703125" style="7"/>
  </cols>
  <sheetData>
    <row r="1" spans="1:28" s="6" customFormat="1" ht="17.25" x14ac:dyDescent="0.25">
      <c r="A1" s="5" t="s">
        <v>146</v>
      </c>
      <c r="B1" s="28" t="s">
        <v>7</v>
      </c>
      <c r="C1" s="28" t="s">
        <v>77</v>
      </c>
      <c r="D1" s="28" t="s">
        <v>76</v>
      </c>
      <c r="E1" s="28" t="s">
        <v>79</v>
      </c>
      <c r="F1" s="28" t="s">
        <v>78</v>
      </c>
      <c r="G1" s="28" t="s">
        <v>220</v>
      </c>
      <c r="H1" s="28" t="s">
        <v>141</v>
      </c>
      <c r="I1" s="28" t="s">
        <v>142</v>
      </c>
      <c r="J1" s="5" t="s">
        <v>208</v>
      </c>
      <c r="K1" s="5" t="s">
        <v>209</v>
      </c>
      <c r="L1" s="5" t="s">
        <v>210</v>
      </c>
      <c r="M1" s="5" t="s">
        <v>211</v>
      </c>
      <c r="N1" s="5" t="s">
        <v>212</v>
      </c>
      <c r="O1" s="5" t="s">
        <v>213</v>
      </c>
      <c r="P1" s="5" t="s">
        <v>214</v>
      </c>
      <c r="Q1" s="5" t="s">
        <v>215</v>
      </c>
      <c r="R1" s="5" t="s">
        <v>216</v>
      </c>
      <c r="S1" s="5" t="s">
        <v>217</v>
      </c>
      <c r="T1" s="5" t="s">
        <v>248</v>
      </c>
      <c r="U1" s="29" t="s">
        <v>218</v>
      </c>
      <c r="V1" s="87" t="s">
        <v>221</v>
      </c>
      <c r="W1" s="87" t="s">
        <v>222</v>
      </c>
      <c r="X1" s="87" t="s">
        <v>223</v>
      </c>
      <c r="Y1" s="87" t="s">
        <v>224</v>
      </c>
      <c r="Z1" s="87" t="s">
        <v>225</v>
      </c>
      <c r="AA1" s="87" t="s">
        <v>226</v>
      </c>
      <c r="AB1" s="29" t="s">
        <v>227</v>
      </c>
    </row>
    <row r="2" spans="1:28" s="6" customFormat="1" x14ac:dyDescent="0.25">
      <c r="A2" s="34">
        <v>12110</v>
      </c>
      <c r="B2" s="31" t="e" cm="1">
        <f t="array" ref="B2">INDEX(T_Info[],MATCH(T_HA[[#This Row],[Codigo]],T_Info[Codigo],0),COLUMN(T_Info[Proyecto]))</f>
        <v>#N/A</v>
      </c>
      <c r="C2" s="30" t="e" cm="1">
        <f t="array" ref="C2">INDEX(T_Info[],MATCH(T_HA[[#This Row],[Codigo]],T_Info[Codigo],0),COLUMN(T_Info[T.S]))</f>
        <v>#N/A</v>
      </c>
      <c r="D2" s="34" t="e" cm="1">
        <f t="array" ref="D2">INDEX(T_Info[],MATCH(T_HA[[#This Row],[Codigo]],T_Info[Codigo],0),COLUMN(T_Info[Z.S]))</f>
        <v>#N/A</v>
      </c>
      <c r="E2" s="34" t="e" cm="1">
        <f t="array" ref="E2">INDEX(T_Info[],MATCH(T_HA[[#This Row],[Codigo]],T_Info[Codigo],0),COLUMN(T_Info[Pisos]))</f>
        <v>#N/A</v>
      </c>
      <c r="F2" s="34" t="e" cm="1">
        <f t="array" ref="F2">INDEX(T_Info[],MATCH(T_HA[[#This Row],[Codigo]],T_Info[Codigo],0),COLUMN(T_Info[Subt.]))</f>
        <v>#N/A</v>
      </c>
      <c r="G2" s="35" t="e" cm="1">
        <f t="array" ref="G2">INDEX(T_Info[],MATCH(T_HA[[#This Row],[Codigo]],T_Info[Codigo],0),COLUMN(T_Info[Superficie m2]))</f>
        <v>#N/A</v>
      </c>
      <c r="H2" s="30" t="e" cm="1">
        <f t="array" ref="H2">IF(INDEX(T_Info[],MATCH(T_HA[[#This Row],[Codigo]],T_Info[Codigo],0),COLUMN(T_Info[Postensado]))&lt;&gt;"",INDEX(T_Info[],MATCH(T_HA[[#This Row],[Codigo]],T_Info[Codigo],0),COLUMN(T_Info[Postensado])),"")</f>
        <v>#N/A</v>
      </c>
      <c r="I2" s="30" t="e" cm="1">
        <f t="array" ref="I2">IF(INDEX(T_Info[],MATCH(T_HA[[#This Row],[Codigo]],T_Info[Codigo],0),COLUMN(T_Info[Losa Fundación]))&lt;&gt;"",INDEX(T_Info[],MATCH(T_HA[[#This Row],[Codigo]],T_Info[Codigo],0),COLUMN(T_Info[Losa Fundación])),"")</f>
        <v>#N/A</v>
      </c>
      <c r="J2" s="32"/>
      <c r="K2" s="32"/>
      <c r="L2" s="32"/>
      <c r="M2" s="32"/>
      <c r="N2" s="32"/>
      <c r="O2" s="32"/>
      <c r="P2" s="32"/>
      <c r="Q2" s="32"/>
      <c r="R2" s="32"/>
      <c r="S2" s="32"/>
      <c r="T2" s="32"/>
      <c r="U2" s="32">
        <v>0</v>
      </c>
      <c r="V2" s="57">
        <f>IFERROR(T_HA[[#This Row],[Fund m3]]/T_HA[[#This Row],[Superficie m2]],)</f>
        <v>0</v>
      </c>
      <c r="W2" s="57">
        <f>IFERROR(T_HA[[#This Row],[Muros m3]]/T_HA[[#This Row],[Superficie m2]],)</f>
        <v>0</v>
      </c>
      <c r="X2" s="57">
        <f>IFERROR(T_HA[[#This Row],[Muros Int m3]]/T_HA[[#This Row],[Superficie m2]],)</f>
        <v>0</v>
      </c>
      <c r="Y2" s="57">
        <f>IFERROR(T_HA[[#This Row],[Perimetrales m3]]/T_HA[[#This Row],[Superficie m2]],)</f>
        <v>0</v>
      </c>
      <c r="Z2" s="57">
        <f>IFERROR(T_HA[[#This Row],[Vigas m3]]/T_HA[[#This Row],[Superficie m2]],)</f>
        <v>0</v>
      </c>
      <c r="AA2" s="57">
        <f>IFERROR(T_HA[[#This Row],[Losas m3]]/T_HA[[#This Row],[Superficie m2]],)</f>
        <v>0</v>
      </c>
      <c r="AB2" s="57">
        <f>IFERROR(T_HA[[#This Row],[Total m3]]/T_HA[[#This Row],[Superficie m2]],)</f>
        <v>0</v>
      </c>
    </row>
    <row r="3" spans="1:28" s="6" customFormat="1" x14ac:dyDescent="0.25">
      <c r="A3" s="34">
        <v>13014</v>
      </c>
      <c r="B3" s="31" t="str" cm="1">
        <f t="array" ref="B3">INDEX(T_Info[],MATCH(T_HA[[#This Row],[Codigo]],T_Info[Codigo],0),COLUMN(T_Info[Proyecto]))</f>
        <v>Los Gomeros</v>
      </c>
      <c r="C3" s="30" t="str" cm="1">
        <f t="array" ref="C3">INDEX(T_Info[],MATCH(T_HA[[#This Row],[Codigo]],T_Info[Codigo],0),COLUMN(T_Info[T.S]))</f>
        <v>B</v>
      </c>
      <c r="D3" s="34" cm="1">
        <f t="array" ref="D3">INDEX(T_Info[],MATCH(T_HA[[#This Row],[Codigo]],T_Info[Codigo],0),COLUMN(T_Info[Z.S]))</f>
        <v>2</v>
      </c>
      <c r="E3" s="34" cm="1">
        <f t="array" ref="E3">INDEX(T_Info[],MATCH(T_HA[[#This Row],[Codigo]],T_Info[Codigo],0),COLUMN(T_Info[Pisos]))</f>
        <v>6</v>
      </c>
      <c r="F3" s="34" cm="1">
        <f t="array" ref="F3">INDEX(T_Info[],MATCH(T_HA[[#This Row],[Codigo]],T_Info[Codigo],0),COLUMN(T_Info[Subt.]))</f>
        <v>2</v>
      </c>
      <c r="G3" s="35" cm="1">
        <f t="array" ref="G3">INDEX(T_Info[],MATCH(T_HA[[#This Row],[Codigo]],T_Info[Codigo],0),COLUMN(T_Info[Superficie m2]))</f>
        <v>8635</v>
      </c>
      <c r="H3" s="30" t="str" cm="1">
        <f t="array" ref="H3">IF(INDEX(T_Info[],MATCH(T_HA[[#This Row],[Codigo]],T_Info[Codigo],0),COLUMN(T_Info[Postensado]))&lt;&gt;"",INDEX(T_Info[],MATCH(T_HA[[#This Row],[Codigo]],T_Info[Codigo],0),COLUMN(T_Info[Postensado])),"")</f>
        <v/>
      </c>
      <c r="I3" s="30" t="str" cm="1">
        <f t="array" ref="I3">IF(INDEX(T_Info[],MATCH(T_HA[[#This Row],[Codigo]],T_Info[Codigo],0),COLUMN(T_Info[Losa Fundación]))&lt;&gt;"",INDEX(T_Info[],MATCH(T_HA[[#This Row],[Codigo]],T_Info[Codigo],0),COLUMN(T_Info[Losa Fundación])),"")</f>
        <v/>
      </c>
      <c r="J3" s="32"/>
      <c r="K3" s="32"/>
      <c r="L3" s="32"/>
      <c r="M3" s="32"/>
      <c r="N3" s="32"/>
      <c r="O3" s="32"/>
      <c r="P3" s="32"/>
      <c r="Q3" s="32"/>
      <c r="R3" s="32"/>
      <c r="S3" s="32"/>
      <c r="T3" s="32"/>
      <c r="U3" s="32">
        <v>0</v>
      </c>
      <c r="V3" s="57">
        <f>IFERROR(T_HA[[#This Row],[Fund m3]]/T_HA[[#This Row],[Superficie m2]],)</f>
        <v>0</v>
      </c>
      <c r="W3" s="57">
        <f>IFERROR(T_HA[[#This Row],[Muros m3]]/T_HA[[#This Row],[Superficie m2]],)</f>
        <v>0</v>
      </c>
      <c r="X3" s="57">
        <f>IFERROR(T_HA[[#This Row],[Muros Int m3]]/T_HA[[#This Row],[Superficie m2]],)</f>
        <v>0</v>
      </c>
      <c r="Y3" s="57">
        <f>IFERROR(T_HA[[#This Row],[Perimetrales m3]]/T_HA[[#This Row],[Superficie m2]],)</f>
        <v>0</v>
      </c>
      <c r="Z3" s="57">
        <f>IFERROR(T_HA[[#This Row],[Vigas m3]]/T_HA[[#This Row],[Superficie m2]],)</f>
        <v>0</v>
      </c>
      <c r="AA3" s="57">
        <f>IFERROR(T_HA[[#This Row],[Losas m3]]/T_HA[[#This Row],[Superficie m2]],)</f>
        <v>0</v>
      </c>
      <c r="AB3" s="57">
        <f>IFERROR(T_HA[[#This Row],[Total m3]]/T_HA[[#This Row],[Superficie m2]],)</f>
        <v>0</v>
      </c>
    </row>
    <row r="4" spans="1:28" s="6" customFormat="1" x14ac:dyDescent="0.25">
      <c r="A4" s="34">
        <v>13015</v>
      </c>
      <c r="B4" s="31" t="str" cm="1">
        <f t="array" ref="B4">INDEX(T_Info[],MATCH(T_HA[[#This Row],[Codigo]],T_Info[Codigo],0),COLUMN(T_Info[Proyecto]))</f>
        <v>Paula Jaraq.</v>
      </c>
      <c r="C4" s="30" t="str" cm="1">
        <f t="array" ref="C4">INDEX(T_Info[],MATCH(T_HA[[#This Row],[Codigo]],T_Info[Codigo],0),COLUMN(T_Info[T.S]))</f>
        <v>D</v>
      </c>
      <c r="D4" s="34" cm="1">
        <f t="array" ref="D4">INDEX(T_Info[],MATCH(T_HA[[#This Row],[Codigo]],T_Info[Codigo],0),COLUMN(T_Info[Z.S]))</f>
        <v>2</v>
      </c>
      <c r="E4" s="34" cm="1">
        <f t="array" ref="E4">INDEX(T_Info[],MATCH(T_HA[[#This Row],[Codigo]],T_Info[Codigo],0),COLUMN(T_Info[Pisos]))</f>
        <v>11</v>
      </c>
      <c r="F4" s="34" cm="1">
        <f t="array" ref="F4">INDEX(T_Info[],MATCH(T_HA[[#This Row],[Codigo]],T_Info[Codigo],0),COLUMN(T_Info[Subt.]))</f>
        <v>1</v>
      </c>
      <c r="G4" s="35" cm="1">
        <f t="array" ref="G4">INDEX(T_Info[],MATCH(T_HA[[#This Row],[Codigo]],T_Info[Codigo],0),COLUMN(T_Info[Superficie m2]))</f>
        <v>9002</v>
      </c>
      <c r="H4" s="30" t="str" cm="1">
        <f t="array" ref="H4">IF(INDEX(T_Info[],MATCH(T_HA[[#This Row],[Codigo]],T_Info[Codigo],0),COLUMN(T_Info[Postensado]))&lt;&gt;"",INDEX(T_Info[],MATCH(T_HA[[#This Row],[Codigo]],T_Info[Codigo],0),COLUMN(T_Info[Postensado])),"")</f>
        <v/>
      </c>
      <c r="I4" s="30" t="str" cm="1">
        <f t="array" ref="I4">IF(INDEX(T_Info[],MATCH(T_HA[[#This Row],[Codigo]],T_Info[Codigo],0),COLUMN(T_Info[Losa Fundación]))&lt;&gt;"",INDEX(T_Info[],MATCH(T_HA[[#This Row],[Codigo]],T_Info[Codigo],0),COLUMN(T_Info[Losa Fundación])),"")</f>
        <v/>
      </c>
      <c r="J4" s="32"/>
      <c r="K4" s="32"/>
      <c r="L4" s="32"/>
      <c r="M4" s="32"/>
      <c r="N4" s="32"/>
      <c r="O4" s="32"/>
      <c r="P4" s="32"/>
      <c r="Q4" s="32"/>
      <c r="R4" s="32"/>
      <c r="S4" s="32"/>
      <c r="T4" s="32"/>
      <c r="U4" s="32">
        <v>0</v>
      </c>
      <c r="V4" s="57">
        <f>IFERROR(T_HA[[#This Row],[Fund m3]]/T_HA[[#This Row],[Superficie m2]],)</f>
        <v>0</v>
      </c>
      <c r="W4" s="57">
        <f>IFERROR(T_HA[[#This Row],[Muros m3]]/T_HA[[#This Row],[Superficie m2]],)</f>
        <v>0</v>
      </c>
      <c r="X4" s="57">
        <f>IFERROR(T_HA[[#This Row],[Muros Int m3]]/T_HA[[#This Row],[Superficie m2]],)</f>
        <v>0</v>
      </c>
      <c r="Y4" s="57">
        <f>IFERROR(T_HA[[#This Row],[Perimetrales m3]]/T_HA[[#This Row],[Superficie m2]],)</f>
        <v>0</v>
      </c>
      <c r="Z4" s="57">
        <f>IFERROR(T_HA[[#This Row],[Vigas m3]]/T_HA[[#This Row],[Superficie m2]],)</f>
        <v>0</v>
      </c>
      <c r="AA4" s="57">
        <f>IFERROR(T_HA[[#This Row],[Losas m3]]/T_HA[[#This Row],[Superficie m2]],)</f>
        <v>0</v>
      </c>
      <c r="AB4" s="57">
        <f>IFERROR(T_HA[[#This Row],[Total m3]]/T_HA[[#This Row],[Superficie m2]],)</f>
        <v>0</v>
      </c>
    </row>
    <row r="5" spans="1:28" s="6" customFormat="1" x14ac:dyDescent="0.25">
      <c r="A5" s="34">
        <v>13044</v>
      </c>
      <c r="B5" s="31" t="str" cm="1">
        <f t="array" ref="B5">INDEX(T_Info[],MATCH(T_HA[[#This Row],[Codigo]],T_Info[Codigo],0),COLUMN(T_Info[Proyecto]))</f>
        <v>Bello Horizonte</v>
      </c>
      <c r="C5" s="30" t="str" cm="1">
        <f t="array" ref="C5">INDEX(T_Info[],MATCH(T_HA[[#This Row],[Codigo]],T_Info[Codigo],0),COLUMN(T_Info[T.S]))</f>
        <v>B</v>
      </c>
      <c r="D5" s="34" cm="1">
        <f t="array" ref="D5">INDEX(T_Info[],MATCH(T_HA[[#This Row],[Codigo]],T_Info[Codigo],0),COLUMN(T_Info[Z.S]))</f>
        <v>2</v>
      </c>
      <c r="E5" s="34" cm="1">
        <f t="array" ref="E5">INDEX(T_Info[],MATCH(T_HA[[#This Row],[Codigo]],T_Info[Codigo],0),COLUMN(T_Info[Pisos]))</f>
        <v>10</v>
      </c>
      <c r="F5" s="34" cm="1">
        <f t="array" ref="F5">INDEX(T_Info[],MATCH(T_HA[[#This Row],[Codigo]],T_Info[Codigo],0),COLUMN(T_Info[Subt.]))</f>
        <v>2</v>
      </c>
      <c r="G5" s="35" cm="1">
        <f t="array" ref="G5">INDEX(T_Info[],MATCH(T_HA[[#This Row],[Codigo]],T_Info[Codigo],0),COLUMN(T_Info[Superficie m2]))</f>
        <v>18703</v>
      </c>
      <c r="H5" s="30" t="str" cm="1">
        <f t="array" ref="H5">IF(INDEX(T_Info[],MATCH(T_HA[[#This Row],[Codigo]],T_Info[Codigo],0),COLUMN(T_Info[Postensado]))&lt;&gt;"",INDEX(T_Info[],MATCH(T_HA[[#This Row],[Codigo]],T_Info[Codigo],0),COLUMN(T_Info[Postensado])),"")</f>
        <v/>
      </c>
      <c r="I5" s="30" t="str" cm="1">
        <f t="array" ref="I5">IF(INDEX(T_Info[],MATCH(T_HA[[#This Row],[Codigo]],T_Info[Codigo],0),COLUMN(T_Info[Losa Fundación]))&lt;&gt;"",INDEX(T_Info[],MATCH(T_HA[[#This Row],[Codigo]],T_Info[Codigo],0),COLUMN(T_Info[Losa Fundación])),"")</f>
        <v/>
      </c>
      <c r="J5" s="32"/>
      <c r="K5" s="32"/>
      <c r="L5" s="32"/>
      <c r="M5" s="32"/>
      <c r="N5" s="32"/>
      <c r="O5" s="32"/>
      <c r="P5" s="32"/>
      <c r="Q5" s="32"/>
      <c r="R5" s="32"/>
      <c r="S5" s="32"/>
      <c r="T5" s="32"/>
      <c r="U5" s="32">
        <v>0</v>
      </c>
      <c r="V5" s="57">
        <f>IFERROR(T_HA[[#This Row],[Fund m3]]/T_HA[[#This Row],[Superficie m2]],)</f>
        <v>0</v>
      </c>
      <c r="W5" s="57">
        <f>IFERROR(T_HA[[#This Row],[Muros m3]]/T_HA[[#This Row],[Superficie m2]],)</f>
        <v>0</v>
      </c>
      <c r="X5" s="57">
        <f>IFERROR(T_HA[[#This Row],[Muros Int m3]]/T_HA[[#This Row],[Superficie m2]],)</f>
        <v>0</v>
      </c>
      <c r="Y5" s="57">
        <f>IFERROR(T_HA[[#This Row],[Perimetrales m3]]/T_HA[[#This Row],[Superficie m2]],)</f>
        <v>0</v>
      </c>
      <c r="Z5" s="57">
        <f>IFERROR(T_HA[[#This Row],[Vigas m3]]/T_HA[[#This Row],[Superficie m2]],)</f>
        <v>0</v>
      </c>
      <c r="AA5" s="57">
        <f>IFERROR(T_HA[[#This Row],[Losas m3]]/T_HA[[#This Row],[Superficie m2]],)</f>
        <v>0</v>
      </c>
      <c r="AB5" s="57">
        <f>IFERROR(T_HA[[#This Row],[Total m3]]/T_HA[[#This Row],[Superficie m2]],)</f>
        <v>0</v>
      </c>
    </row>
    <row r="6" spans="1:28" s="6" customFormat="1" x14ac:dyDescent="0.25">
      <c r="A6" s="34">
        <v>13052</v>
      </c>
      <c r="B6" s="31" t="str" cm="1">
        <f t="array" ref="B6">INDEX(T_Info[],MATCH(T_HA[[#This Row],[Codigo]],T_Info[Codigo],0),COLUMN(T_Info[Proyecto]))</f>
        <v>Tocornal</v>
      </c>
      <c r="C6" s="30" t="str" cm="1">
        <f t="array" ref="C6">INDEX(T_Info[],MATCH(T_HA[[#This Row],[Codigo]],T_Info[Codigo],0),COLUMN(T_Info[T.S]))</f>
        <v>B</v>
      </c>
      <c r="D6" s="34" cm="1">
        <f t="array" ref="D6">INDEX(T_Info[],MATCH(T_HA[[#This Row],[Codigo]],T_Info[Codigo],0),COLUMN(T_Info[Z.S]))</f>
        <v>2</v>
      </c>
      <c r="E6" s="34" cm="1">
        <f t="array" ref="E6">INDEX(T_Info[],MATCH(T_HA[[#This Row],[Codigo]],T_Info[Codigo],0),COLUMN(T_Info[Pisos]))</f>
        <v>9</v>
      </c>
      <c r="F6" s="34" cm="1">
        <f t="array" ref="F6">INDEX(T_Info[],MATCH(T_HA[[#This Row],[Codigo]],T_Info[Codigo],0),COLUMN(T_Info[Subt.]))</f>
        <v>2</v>
      </c>
      <c r="G6" s="35" cm="1">
        <f t="array" ref="G6">INDEX(T_Info[],MATCH(T_HA[[#This Row],[Codigo]],T_Info[Codigo],0),COLUMN(T_Info[Superficie m2]))</f>
        <v>9002</v>
      </c>
      <c r="H6" s="30" t="str" cm="1">
        <f t="array" ref="H6">IF(INDEX(T_Info[],MATCH(T_HA[[#This Row],[Codigo]],T_Info[Codigo],0),COLUMN(T_Info[Postensado]))&lt;&gt;"",INDEX(T_Info[],MATCH(T_HA[[#This Row],[Codigo]],T_Info[Codigo],0),COLUMN(T_Info[Postensado])),"")</f>
        <v/>
      </c>
      <c r="I6" s="30" t="str" cm="1">
        <f t="array" ref="I6">IF(INDEX(T_Info[],MATCH(T_HA[[#This Row],[Codigo]],T_Info[Codigo],0),COLUMN(T_Info[Losa Fundación]))&lt;&gt;"",INDEX(T_Info[],MATCH(T_HA[[#This Row],[Codigo]],T_Info[Codigo],0),COLUMN(T_Info[Losa Fundación])),"")</f>
        <v/>
      </c>
      <c r="J6" s="32"/>
      <c r="K6" s="32"/>
      <c r="L6" s="32"/>
      <c r="M6" s="32"/>
      <c r="N6" s="32"/>
      <c r="O6" s="32"/>
      <c r="P6" s="32"/>
      <c r="Q6" s="32"/>
      <c r="R6" s="32"/>
      <c r="S6" s="32"/>
      <c r="T6" s="32"/>
      <c r="U6" s="32">
        <v>0</v>
      </c>
      <c r="V6" s="57">
        <f>IFERROR(T_HA[[#This Row],[Fund m3]]/T_HA[[#This Row],[Superficie m2]],)</f>
        <v>0</v>
      </c>
      <c r="W6" s="57">
        <f>IFERROR(T_HA[[#This Row],[Muros m3]]/T_HA[[#This Row],[Superficie m2]],)</f>
        <v>0</v>
      </c>
      <c r="X6" s="57">
        <f>IFERROR(T_HA[[#This Row],[Muros Int m3]]/T_HA[[#This Row],[Superficie m2]],)</f>
        <v>0</v>
      </c>
      <c r="Y6" s="57">
        <f>IFERROR(T_HA[[#This Row],[Perimetrales m3]]/T_HA[[#This Row],[Superficie m2]],)</f>
        <v>0</v>
      </c>
      <c r="Z6" s="57">
        <f>IFERROR(T_HA[[#This Row],[Vigas m3]]/T_HA[[#This Row],[Superficie m2]],)</f>
        <v>0</v>
      </c>
      <c r="AA6" s="57">
        <f>IFERROR(T_HA[[#This Row],[Losas m3]]/T_HA[[#This Row],[Superficie m2]],)</f>
        <v>0</v>
      </c>
      <c r="AB6" s="57">
        <f>IFERROR(T_HA[[#This Row],[Total m3]]/T_HA[[#This Row],[Superficie m2]],)</f>
        <v>0</v>
      </c>
    </row>
    <row r="7" spans="1:28" s="6" customFormat="1" x14ac:dyDescent="0.25">
      <c r="A7" s="34">
        <v>13055</v>
      </c>
      <c r="B7" s="31" t="str" cm="1">
        <f t="array" ref="B7">INDEX(T_Info[],MATCH(T_HA[[#This Row],[Codigo]],T_Info[Codigo],0),COLUMN(T_Info[Proyecto]))</f>
        <v>Talaveras</v>
      </c>
      <c r="C7" s="30" t="str" cm="1">
        <f t="array" ref="C7">INDEX(T_Info[],MATCH(T_HA[[#This Row],[Codigo]],T_Info[Codigo],0),COLUMN(T_Info[T.S]))</f>
        <v>B</v>
      </c>
      <c r="D7" s="34" cm="1">
        <f t="array" ref="D7">INDEX(T_Info[],MATCH(T_HA[[#This Row],[Codigo]],T_Info[Codigo],0),COLUMN(T_Info[Z.S]))</f>
        <v>2</v>
      </c>
      <c r="E7" s="34" cm="1">
        <f t="array" ref="E7">INDEX(T_Info[],MATCH(T_HA[[#This Row],[Codigo]],T_Info[Codigo],0),COLUMN(T_Info[Pisos]))</f>
        <v>21</v>
      </c>
      <c r="F7" s="34" cm="1">
        <f t="array" ref="F7">INDEX(T_Info[],MATCH(T_HA[[#This Row],[Codigo]],T_Info[Codigo],0),COLUMN(T_Info[Subt.]))</f>
        <v>4</v>
      </c>
      <c r="G7" s="35" cm="1">
        <f t="array" ref="G7">INDEX(T_Info[],MATCH(T_HA[[#This Row],[Codigo]],T_Info[Codigo],0),COLUMN(T_Info[Superficie m2]))</f>
        <v>25900</v>
      </c>
      <c r="H7" s="30" t="str" cm="1">
        <f t="array" ref="H7">IF(INDEX(T_Info[],MATCH(T_HA[[#This Row],[Codigo]],T_Info[Codigo],0),COLUMN(T_Info[Postensado]))&lt;&gt;"",INDEX(T_Info[],MATCH(T_HA[[#This Row],[Codigo]],T_Info[Codigo],0),COLUMN(T_Info[Postensado])),"")</f>
        <v/>
      </c>
      <c r="I7" s="30" t="str" cm="1">
        <f t="array" ref="I7">IF(INDEX(T_Info[],MATCH(T_HA[[#This Row],[Codigo]],T_Info[Codigo],0),COLUMN(T_Info[Losa Fundación]))&lt;&gt;"",INDEX(T_Info[],MATCH(T_HA[[#This Row],[Codigo]],T_Info[Codigo],0),COLUMN(T_Info[Losa Fundación])),"")</f>
        <v/>
      </c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>
        <v>0</v>
      </c>
      <c r="V7" s="57">
        <f>IFERROR(T_HA[[#This Row],[Fund m3]]/T_HA[[#This Row],[Superficie m2]],)</f>
        <v>0</v>
      </c>
      <c r="W7" s="57">
        <f>IFERROR(T_HA[[#This Row],[Muros m3]]/T_HA[[#This Row],[Superficie m2]],)</f>
        <v>0</v>
      </c>
      <c r="X7" s="57">
        <f>IFERROR(T_HA[[#This Row],[Muros Int m3]]/T_HA[[#This Row],[Superficie m2]],)</f>
        <v>0</v>
      </c>
      <c r="Y7" s="57">
        <f>IFERROR(T_HA[[#This Row],[Perimetrales m3]]/T_HA[[#This Row],[Superficie m2]],)</f>
        <v>0</v>
      </c>
      <c r="Z7" s="57">
        <f>IFERROR(T_HA[[#This Row],[Vigas m3]]/T_HA[[#This Row],[Superficie m2]],)</f>
        <v>0</v>
      </c>
      <c r="AA7" s="57">
        <f>IFERROR(T_HA[[#This Row],[Losas m3]]/T_HA[[#This Row],[Superficie m2]],)</f>
        <v>0</v>
      </c>
      <c r="AB7" s="57">
        <f>IFERROR(T_HA[[#This Row],[Total m3]]/T_HA[[#This Row],[Superficie m2]],)</f>
        <v>0</v>
      </c>
    </row>
    <row r="8" spans="1:28" s="6" customFormat="1" x14ac:dyDescent="0.25">
      <c r="A8" s="34">
        <v>13091</v>
      </c>
      <c r="B8" s="31" t="str" cm="1">
        <f t="array" ref="B8">INDEX(T_Info[],MATCH(T_HA[[#This Row],[Codigo]],T_Info[Codigo],0),COLUMN(T_Info[Proyecto]))</f>
        <v>Lyon Bustos</v>
      </c>
      <c r="C8" s="30" t="str" cm="1">
        <f t="array" ref="C8">INDEX(T_Info[],MATCH(T_HA[[#This Row],[Codigo]],T_Info[Codigo],0),COLUMN(T_Info[T.S]))</f>
        <v>B</v>
      </c>
      <c r="D8" s="34" cm="1">
        <f t="array" ref="D8">INDEX(T_Info[],MATCH(T_HA[[#This Row],[Codigo]],T_Info[Codigo],0),COLUMN(T_Info[Z.S]))</f>
        <v>2</v>
      </c>
      <c r="E8" s="34" cm="1">
        <f t="array" ref="E8">INDEX(T_Info[],MATCH(T_HA[[#This Row],[Codigo]],T_Info[Codigo],0),COLUMN(T_Info[Pisos]))</f>
        <v>12</v>
      </c>
      <c r="F8" s="34" cm="1">
        <f t="array" ref="F8">INDEX(T_Info[],MATCH(T_HA[[#This Row],[Codigo]],T_Info[Codigo],0),COLUMN(T_Info[Subt.]))</f>
        <v>2</v>
      </c>
      <c r="G8" s="35" cm="1">
        <f t="array" ref="G8">INDEX(T_Info[],MATCH(T_HA[[#This Row],[Codigo]],T_Info[Codigo],0),COLUMN(T_Info[Superficie m2]))</f>
        <v>14115</v>
      </c>
      <c r="H8" s="30" t="str" cm="1">
        <f t="array" ref="H8">IF(INDEX(T_Info[],MATCH(T_HA[[#This Row],[Codigo]],T_Info[Codigo],0),COLUMN(T_Info[Postensado]))&lt;&gt;"",INDEX(T_Info[],MATCH(T_HA[[#This Row],[Codigo]],T_Info[Codigo],0),COLUMN(T_Info[Postensado])),"")</f>
        <v/>
      </c>
      <c r="I8" s="30" t="str" cm="1">
        <f t="array" ref="I8">IF(INDEX(T_Info[],MATCH(T_HA[[#This Row],[Codigo]],T_Info[Codigo],0),COLUMN(T_Info[Losa Fundación]))&lt;&gt;"",INDEX(T_Info[],MATCH(T_HA[[#This Row],[Codigo]],T_Info[Codigo],0),COLUMN(T_Info[Losa Fundación])),"")</f>
        <v/>
      </c>
      <c r="J8" s="32"/>
      <c r="K8" s="32"/>
      <c r="L8" s="32"/>
      <c r="M8" s="32"/>
      <c r="N8" s="32"/>
      <c r="O8" s="32"/>
      <c r="P8" s="32"/>
      <c r="Q8" s="32"/>
      <c r="R8" s="32"/>
      <c r="S8" s="32"/>
      <c r="T8" s="32"/>
      <c r="U8" s="32">
        <v>0</v>
      </c>
      <c r="V8" s="57">
        <f>IFERROR(T_HA[[#This Row],[Fund m3]]/T_HA[[#This Row],[Superficie m2]],)</f>
        <v>0</v>
      </c>
      <c r="W8" s="57">
        <f>IFERROR(T_HA[[#This Row],[Muros m3]]/T_HA[[#This Row],[Superficie m2]],)</f>
        <v>0</v>
      </c>
      <c r="X8" s="57">
        <f>IFERROR(T_HA[[#This Row],[Muros Int m3]]/T_HA[[#This Row],[Superficie m2]],)</f>
        <v>0</v>
      </c>
      <c r="Y8" s="57">
        <f>IFERROR(T_HA[[#This Row],[Perimetrales m3]]/T_HA[[#This Row],[Superficie m2]],)</f>
        <v>0</v>
      </c>
      <c r="Z8" s="57">
        <f>IFERROR(T_HA[[#This Row],[Vigas m3]]/T_HA[[#This Row],[Superficie m2]],)</f>
        <v>0</v>
      </c>
      <c r="AA8" s="57">
        <f>IFERROR(T_HA[[#This Row],[Losas m3]]/T_HA[[#This Row],[Superficie m2]],)</f>
        <v>0</v>
      </c>
      <c r="AB8" s="57">
        <f>IFERROR(T_HA[[#This Row],[Total m3]]/T_HA[[#This Row],[Superficie m2]],)</f>
        <v>0</v>
      </c>
    </row>
    <row r="9" spans="1:28" s="6" customFormat="1" x14ac:dyDescent="0.25">
      <c r="A9" s="34">
        <v>13117</v>
      </c>
      <c r="B9" s="31" t="str" cm="1">
        <f t="array" ref="B9">INDEX(T_Info[],MATCH(T_HA[[#This Row],[Codigo]],T_Info[Codigo],0),COLUMN(T_Info[Proyecto]))</f>
        <v>Bartolo Soto</v>
      </c>
      <c r="C9" s="30" t="str" cm="1">
        <f t="array" ref="C9">INDEX(T_Info[],MATCH(T_HA[[#This Row],[Codigo]],T_Info[Codigo],0),COLUMN(T_Info[T.S]))</f>
        <v>B</v>
      </c>
      <c r="D9" s="34" cm="1">
        <f t="array" ref="D9">INDEX(T_Info[],MATCH(T_HA[[#This Row],[Codigo]],T_Info[Codigo],0),COLUMN(T_Info[Z.S]))</f>
        <v>2</v>
      </c>
      <c r="E9" s="34" cm="1">
        <f t="array" ref="E9">INDEX(T_Info[],MATCH(T_HA[[#This Row],[Codigo]],T_Info[Codigo],0),COLUMN(T_Info[Pisos]))</f>
        <v>18</v>
      </c>
      <c r="F9" s="34" cm="1">
        <f t="array" ref="F9">INDEX(T_Info[],MATCH(T_HA[[#This Row],[Codigo]],T_Info[Codigo],0),COLUMN(T_Info[Subt.]))</f>
        <v>3</v>
      </c>
      <c r="G9" s="35" cm="1">
        <f t="array" ref="G9">INDEX(T_Info[],MATCH(T_HA[[#This Row],[Codigo]],T_Info[Codigo],0),COLUMN(T_Info[Superficie m2]))</f>
        <v>22577</v>
      </c>
      <c r="H9" s="30" t="str" cm="1">
        <f t="array" ref="H9">IF(INDEX(T_Info[],MATCH(T_HA[[#This Row],[Codigo]],T_Info[Codigo],0),COLUMN(T_Info[Postensado]))&lt;&gt;"",INDEX(T_Info[],MATCH(T_HA[[#This Row],[Codigo]],T_Info[Codigo],0),COLUMN(T_Info[Postensado])),"")</f>
        <v/>
      </c>
      <c r="I9" s="30" t="str" cm="1">
        <f t="array" ref="I9">IF(INDEX(T_Info[],MATCH(T_HA[[#This Row],[Codigo]],T_Info[Codigo],0),COLUMN(T_Info[Losa Fundación]))&lt;&gt;"",INDEX(T_Info[],MATCH(T_HA[[#This Row],[Codigo]],T_Info[Codigo],0),COLUMN(T_Info[Losa Fundación])),"")</f>
        <v/>
      </c>
      <c r="J9" s="32"/>
      <c r="K9" s="32"/>
      <c r="L9" s="32"/>
      <c r="M9" s="32"/>
      <c r="N9" s="32"/>
      <c r="O9" s="32"/>
      <c r="P9" s="32"/>
      <c r="Q9" s="32"/>
      <c r="R9" s="32"/>
      <c r="S9" s="32"/>
      <c r="T9" s="32"/>
      <c r="U9" s="32">
        <v>0</v>
      </c>
      <c r="V9" s="57">
        <f>IFERROR(T_HA[[#This Row],[Fund m3]]/T_HA[[#This Row],[Superficie m2]],)</f>
        <v>0</v>
      </c>
      <c r="W9" s="57">
        <f>IFERROR(T_HA[[#This Row],[Muros m3]]/T_HA[[#This Row],[Superficie m2]],)</f>
        <v>0</v>
      </c>
      <c r="X9" s="57">
        <f>IFERROR(T_HA[[#This Row],[Muros Int m3]]/T_HA[[#This Row],[Superficie m2]],)</f>
        <v>0</v>
      </c>
      <c r="Y9" s="57">
        <f>IFERROR(T_HA[[#This Row],[Perimetrales m3]]/T_HA[[#This Row],[Superficie m2]],)</f>
        <v>0</v>
      </c>
      <c r="Z9" s="57">
        <f>IFERROR(T_HA[[#This Row],[Vigas m3]]/T_HA[[#This Row],[Superficie m2]],)</f>
        <v>0</v>
      </c>
      <c r="AA9" s="57">
        <f>IFERROR(T_HA[[#This Row],[Losas m3]]/T_HA[[#This Row],[Superficie m2]],)</f>
        <v>0</v>
      </c>
      <c r="AB9" s="57">
        <f>IFERROR(T_HA[[#This Row],[Total m3]]/T_HA[[#This Row],[Superficie m2]],)</f>
        <v>0</v>
      </c>
    </row>
    <row r="10" spans="1:28" s="6" customFormat="1" x14ac:dyDescent="0.25">
      <c r="A10" s="34">
        <v>13119</v>
      </c>
      <c r="B10" s="31" t="str" cm="1">
        <f t="array" ref="B10">INDEX(T_Info[],MATCH(T_HA[[#This Row],[Codigo]],T_Info[Codigo],0),COLUMN(T_Info[Proyecto]))</f>
        <v>Portugal</v>
      </c>
      <c r="C10" s="30" t="str" cm="1">
        <f t="array" ref="C10">INDEX(T_Info[],MATCH(T_HA[[#This Row],[Codigo]],T_Info[Codigo],0),COLUMN(T_Info[T.S]))</f>
        <v>B</v>
      </c>
      <c r="D10" s="34" cm="1">
        <f t="array" ref="D10">INDEX(T_Info[],MATCH(T_HA[[#This Row],[Codigo]],T_Info[Codigo],0),COLUMN(T_Info[Z.S]))</f>
        <v>2</v>
      </c>
      <c r="E10" s="34" cm="1">
        <f t="array" ref="E10">INDEX(T_Info[],MATCH(T_HA[[#This Row],[Codigo]],T_Info[Codigo],0),COLUMN(T_Info[Pisos]))</f>
        <v>20</v>
      </c>
      <c r="F10" s="34" cm="1">
        <f t="array" ref="F10">INDEX(T_Info[],MATCH(T_HA[[#This Row],[Codigo]],T_Info[Codigo],0),COLUMN(T_Info[Subt.]))</f>
        <v>3</v>
      </c>
      <c r="G10" s="35" cm="1">
        <f t="array" ref="G10">INDEX(T_Info[],MATCH(T_HA[[#This Row],[Codigo]],T_Info[Codigo],0),COLUMN(T_Info[Superficie m2]))</f>
        <v>17646</v>
      </c>
      <c r="H10" s="30" t="str" cm="1">
        <f t="array" ref="H10">IF(INDEX(T_Info[],MATCH(T_HA[[#This Row],[Codigo]],T_Info[Codigo],0),COLUMN(T_Info[Postensado]))&lt;&gt;"",INDEX(T_Info[],MATCH(T_HA[[#This Row],[Codigo]],T_Info[Codigo],0),COLUMN(T_Info[Postensado])),"")</f>
        <v/>
      </c>
      <c r="I10" s="30" t="str" cm="1">
        <f t="array" ref="I10">IF(INDEX(T_Info[],MATCH(T_HA[[#This Row],[Codigo]],T_Info[Codigo],0),COLUMN(T_Info[Losa Fundación]))&lt;&gt;"",INDEX(T_Info[],MATCH(T_HA[[#This Row],[Codigo]],T_Info[Codigo],0),COLUMN(T_Info[Losa Fundación])),"")</f>
        <v/>
      </c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>
        <v>0</v>
      </c>
      <c r="V10" s="57">
        <f>IFERROR(T_HA[[#This Row],[Fund m3]]/T_HA[[#This Row],[Superficie m2]],)</f>
        <v>0</v>
      </c>
      <c r="W10" s="57">
        <f>IFERROR(T_HA[[#This Row],[Muros m3]]/T_HA[[#This Row],[Superficie m2]],)</f>
        <v>0</v>
      </c>
      <c r="X10" s="57">
        <f>IFERROR(T_HA[[#This Row],[Muros Int m3]]/T_HA[[#This Row],[Superficie m2]],)</f>
        <v>0</v>
      </c>
      <c r="Y10" s="57">
        <f>IFERROR(T_HA[[#This Row],[Perimetrales m3]]/T_HA[[#This Row],[Superficie m2]],)</f>
        <v>0</v>
      </c>
      <c r="Z10" s="57">
        <f>IFERROR(T_HA[[#This Row],[Vigas m3]]/T_HA[[#This Row],[Superficie m2]],)</f>
        <v>0</v>
      </c>
      <c r="AA10" s="57">
        <f>IFERROR(T_HA[[#This Row],[Losas m3]]/T_HA[[#This Row],[Superficie m2]],)</f>
        <v>0</v>
      </c>
      <c r="AB10" s="57">
        <f>IFERROR(T_HA[[#This Row],[Total m3]]/T_HA[[#This Row],[Superficie m2]],)</f>
        <v>0</v>
      </c>
    </row>
    <row r="11" spans="1:28" s="6" customFormat="1" x14ac:dyDescent="0.25">
      <c r="A11" s="34">
        <v>14023</v>
      </c>
      <c r="B11" s="31" t="str" cm="1">
        <f t="array" ref="B11">INDEX(T_Info[],MATCH(T_HA[[#This Row],[Codigo]],T_Info[Codigo],0),COLUMN(T_Info[Proyecto]))</f>
        <v>Plaza Almeyda</v>
      </c>
      <c r="C11" s="30" t="str" cm="1">
        <f t="array" ref="C11">INDEX(T_Info[],MATCH(T_HA[[#This Row],[Codigo]],T_Info[Codigo],0),COLUMN(T_Info[T.S]))</f>
        <v>C</v>
      </c>
      <c r="D11" s="34" cm="1">
        <f t="array" ref="D11">INDEX(T_Info[],MATCH(T_HA[[#This Row],[Codigo]],T_Info[Codigo],0),COLUMN(T_Info[Z.S]))</f>
        <v>2</v>
      </c>
      <c r="E11" s="34" cm="1">
        <f t="array" ref="E11">INDEX(T_Info[],MATCH(T_HA[[#This Row],[Codigo]],T_Info[Codigo],0),COLUMN(T_Info[Pisos]))</f>
        <v>5</v>
      </c>
      <c r="F11" s="34" cm="1">
        <f t="array" ref="F11">INDEX(T_Info[],MATCH(T_HA[[#This Row],[Codigo]],T_Info[Codigo],0),COLUMN(T_Info[Subt.]))</f>
        <v>3</v>
      </c>
      <c r="G11" s="35" cm="1">
        <f t="array" ref="G11">INDEX(T_Info[],MATCH(T_HA[[#This Row],[Codigo]],T_Info[Codigo],0),COLUMN(T_Info[Superficie m2]))</f>
        <v>13695</v>
      </c>
      <c r="H11" s="30" t="str" cm="1">
        <f t="array" ref="H11">IF(INDEX(T_Info[],MATCH(T_HA[[#This Row],[Codigo]],T_Info[Codigo],0),COLUMN(T_Info[Postensado]))&lt;&gt;"",INDEX(T_Info[],MATCH(T_HA[[#This Row],[Codigo]],T_Info[Codigo],0),COLUMN(T_Info[Postensado])),"")</f>
        <v/>
      </c>
      <c r="I11" s="30" t="str" cm="1">
        <f t="array" ref="I11">IF(INDEX(T_Info[],MATCH(T_HA[[#This Row],[Codigo]],T_Info[Codigo],0),COLUMN(T_Info[Losa Fundación]))&lt;&gt;"",INDEX(T_Info[],MATCH(T_HA[[#This Row],[Codigo]],T_Info[Codigo],0),COLUMN(T_Info[Losa Fundación])),"")</f>
        <v/>
      </c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>
        <v>0</v>
      </c>
      <c r="V11" s="57">
        <f>IFERROR(T_HA[[#This Row],[Fund m3]]/T_HA[[#This Row],[Superficie m2]],)</f>
        <v>0</v>
      </c>
      <c r="W11" s="57">
        <f>IFERROR(T_HA[[#This Row],[Muros m3]]/T_HA[[#This Row],[Superficie m2]],)</f>
        <v>0</v>
      </c>
      <c r="X11" s="57">
        <f>IFERROR(T_HA[[#This Row],[Muros Int m3]]/T_HA[[#This Row],[Superficie m2]],)</f>
        <v>0</v>
      </c>
      <c r="Y11" s="57">
        <f>IFERROR(T_HA[[#This Row],[Perimetrales m3]]/T_HA[[#This Row],[Superficie m2]],)</f>
        <v>0</v>
      </c>
      <c r="Z11" s="57">
        <f>IFERROR(T_HA[[#This Row],[Vigas m3]]/T_HA[[#This Row],[Superficie m2]],)</f>
        <v>0</v>
      </c>
      <c r="AA11" s="57">
        <f>IFERROR(T_HA[[#This Row],[Losas m3]]/T_HA[[#This Row],[Superficie m2]],)</f>
        <v>0</v>
      </c>
      <c r="AB11" s="57">
        <f>IFERROR(T_HA[[#This Row],[Total m3]]/T_HA[[#This Row],[Superficie m2]],)</f>
        <v>0</v>
      </c>
    </row>
    <row r="12" spans="1:28" s="6" customFormat="1" x14ac:dyDescent="0.25">
      <c r="A12" s="34">
        <v>14040</v>
      </c>
      <c r="B12" s="31" t="str" cm="1">
        <f t="array" ref="B12">INDEX(T_Info[],MATCH(T_HA[[#This Row],[Codigo]],T_Info[Codigo],0),COLUMN(T_Info[Proyecto]))</f>
        <v>Freire</v>
      </c>
      <c r="C12" s="30" t="str" cm="1">
        <f t="array" ref="C12">INDEX(T_Info[],MATCH(T_HA[[#This Row],[Codigo]],T_Info[Codigo],0),COLUMN(T_Info[T.S]))</f>
        <v>D</v>
      </c>
      <c r="D12" s="34" cm="1">
        <f t="array" ref="D12">INDEX(T_Info[],MATCH(T_HA[[#This Row],[Codigo]],T_Info[Codigo],0),COLUMN(T_Info[Z.S]))</f>
        <v>3</v>
      </c>
      <c r="E12" s="34" cm="1">
        <f t="array" ref="E12">INDEX(T_Info[],MATCH(T_HA[[#This Row],[Codigo]],T_Info[Codigo],0),COLUMN(T_Info[Pisos]))</f>
        <v>24</v>
      </c>
      <c r="F12" s="34" cm="1">
        <f t="array" ref="F12">INDEX(T_Info[],MATCH(T_HA[[#This Row],[Codigo]],T_Info[Codigo],0),COLUMN(T_Info[Subt.]))</f>
        <v>2</v>
      </c>
      <c r="G12" s="35" cm="1">
        <f t="array" ref="G12">INDEX(T_Info[],MATCH(T_HA[[#This Row],[Codigo]],T_Info[Codigo],0),COLUMN(T_Info[Superficie m2]))</f>
        <v>15443</v>
      </c>
      <c r="H12" s="30" t="str" cm="1">
        <f t="array" ref="H12">IF(INDEX(T_Info[],MATCH(T_HA[[#This Row],[Codigo]],T_Info[Codigo],0),COLUMN(T_Info[Postensado]))&lt;&gt;"",INDEX(T_Info[],MATCH(T_HA[[#This Row],[Codigo]],T_Info[Codigo],0),COLUMN(T_Info[Postensado])),"")</f>
        <v/>
      </c>
      <c r="I12" s="30" t="str" cm="1">
        <f t="array" ref="I12">IF(INDEX(T_Info[],MATCH(T_HA[[#This Row],[Codigo]],T_Info[Codigo],0),COLUMN(T_Info[Losa Fundación]))&lt;&gt;"",INDEX(T_Info[],MATCH(T_HA[[#This Row],[Codigo]],T_Info[Codigo],0),COLUMN(T_Info[Losa Fundación])),"")</f>
        <v/>
      </c>
      <c r="J12" s="32"/>
      <c r="K12" s="32"/>
      <c r="L12" s="32"/>
      <c r="M12" s="32"/>
      <c r="N12" s="32"/>
      <c r="O12" s="32"/>
      <c r="P12" s="32"/>
      <c r="Q12" s="32"/>
      <c r="R12" s="32"/>
      <c r="S12" s="32"/>
      <c r="T12" s="32"/>
      <c r="U12" s="32">
        <v>0</v>
      </c>
      <c r="V12" s="57">
        <f>IFERROR(T_HA[[#This Row],[Fund m3]]/T_HA[[#This Row],[Superficie m2]],)</f>
        <v>0</v>
      </c>
      <c r="W12" s="57">
        <f>IFERROR(T_HA[[#This Row],[Muros m3]]/T_HA[[#This Row],[Superficie m2]],)</f>
        <v>0</v>
      </c>
      <c r="X12" s="57">
        <f>IFERROR(T_HA[[#This Row],[Muros Int m3]]/T_HA[[#This Row],[Superficie m2]],)</f>
        <v>0</v>
      </c>
      <c r="Y12" s="57">
        <f>IFERROR(T_HA[[#This Row],[Perimetrales m3]]/T_HA[[#This Row],[Superficie m2]],)</f>
        <v>0</v>
      </c>
      <c r="Z12" s="57">
        <f>IFERROR(T_HA[[#This Row],[Vigas m3]]/T_HA[[#This Row],[Superficie m2]],)</f>
        <v>0</v>
      </c>
      <c r="AA12" s="57">
        <f>IFERROR(T_HA[[#This Row],[Losas m3]]/T_HA[[#This Row],[Superficie m2]],)</f>
        <v>0</v>
      </c>
      <c r="AB12" s="57">
        <f>IFERROR(T_HA[[#This Row],[Total m3]]/T_HA[[#This Row],[Superficie m2]],)</f>
        <v>0</v>
      </c>
    </row>
    <row r="13" spans="1:28" s="6" customFormat="1" x14ac:dyDescent="0.25">
      <c r="A13" s="34">
        <v>14077</v>
      </c>
      <c r="B13" s="31" t="str" cm="1">
        <f t="array" ref="B13">INDEX(T_Info[],MATCH(T_HA[[#This Row],[Codigo]],T_Info[Codigo],0),COLUMN(T_Info[Proyecto]))</f>
        <v>Jose D Cañas</v>
      </c>
      <c r="C13" s="30" t="str" cm="1">
        <f t="array" ref="C13">INDEX(T_Info[],MATCH(T_HA[[#This Row],[Codigo]],T_Info[Codigo],0),COLUMN(T_Info[T.S]))</f>
        <v>B</v>
      </c>
      <c r="D13" s="34" cm="1">
        <f t="array" ref="D13">INDEX(T_Info[],MATCH(T_HA[[#This Row],[Codigo]],T_Info[Codigo],0),COLUMN(T_Info[Z.S]))</f>
        <v>2</v>
      </c>
      <c r="E13" s="34" cm="1">
        <f t="array" ref="E13">INDEX(T_Info[],MATCH(T_HA[[#This Row],[Codigo]],T_Info[Codigo],0),COLUMN(T_Info[Pisos]))</f>
        <v>14</v>
      </c>
      <c r="F13" s="34" cm="1">
        <f t="array" ref="F13">INDEX(T_Info[],MATCH(T_HA[[#This Row],[Codigo]],T_Info[Codigo],0),COLUMN(T_Info[Subt.]))</f>
        <v>2</v>
      </c>
      <c r="G13" s="35" cm="1">
        <f t="array" ref="G13">INDEX(T_Info[],MATCH(T_HA[[#This Row],[Codigo]],T_Info[Codigo],0),COLUMN(T_Info[Superficie m2]))</f>
        <v>14752</v>
      </c>
      <c r="H13" s="30" t="str" cm="1">
        <f t="array" ref="H13">IF(INDEX(T_Info[],MATCH(T_HA[[#This Row],[Codigo]],T_Info[Codigo],0),COLUMN(T_Info[Postensado]))&lt;&gt;"",INDEX(T_Info[],MATCH(T_HA[[#This Row],[Codigo]],T_Info[Codigo],0),COLUMN(T_Info[Postensado])),"")</f>
        <v/>
      </c>
      <c r="I13" s="30" t="str" cm="1">
        <f t="array" ref="I13">IF(INDEX(T_Info[],MATCH(T_HA[[#This Row],[Codigo]],T_Info[Codigo],0),COLUMN(T_Info[Losa Fundación]))&lt;&gt;"",INDEX(T_Info[],MATCH(T_HA[[#This Row],[Codigo]],T_Info[Codigo],0),COLUMN(T_Info[Losa Fundación])),"")</f>
        <v/>
      </c>
      <c r="J13" s="32"/>
      <c r="K13" s="32"/>
      <c r="L13" s="32"/>
      <c r="M13" s="32"/>
      <c r="N13" s="32"/>
      <c r="O13" s="32"/>
      <c r="P13" s="32"/>
      <c r="Q13" s="32"/>
      <c r="R13" s="32"/>
      <c r="S13" s="32"/>
      <c r="T13" s="32"/>
      <c r="U13" s="32">
        <v>0</v>
      </c>
      <c r="V13" s="57">
        <f>IFERROR(T_HA[[#This Row],[Fund m3]]/T_HA[[#This Row],[Superficie m2]],)</f>
        <v>0</v>
      </c>
      <c r="W13" s="57">
        <f>IFERROR(T_HA[[#This Row],[Muros m3]]/T_HA[[#This Row],[Superficie m2]],)</f>
        <v>0</v>
      </c>
      <c r="X13" s="57">
        <f>IFERROR(T_HA[[#This Row],[Muros Int m3]]/T_HA[[#This Row],[Superficie m2]],)</f>
        <v>0</v>
      </c>
      <c r="Y13" s="57">
        <f>IFERROR(T_HA[[#This Row],[Perimetrales m3]]/T_HA[[#This Row],[Superficie m2]],)</f>
        <v>0</v>
      </c>
      <c r="Z13" s="57">
        <f>IFERROR(T_HA[[#This Row],[Vigas m3]]/T_HA[[#This Row],[Superficie m2]],)</f>
        <v>0</v>
      </c>
      <c r="AA13" s="57">
        <f>IFERROR(T_HA[[#This Row],[Losas m3]]/T_HA[[#This Row],[Superficie m2]],)</f>
        <v>0</v>
      </c>
      <c r="AB13" s="57">
        <f>IFERROR(T_HA[[#This Row],[Total m3]]/T_HA[[#This Row],[Superficie m2]],)</f>
        <v>0</v>
      </c>
    </row>
    <row r="14" spans="1:28" s="6" customFormat="1" x14ac:dyDescent="0.25">
      <c r="A14" s="34">
        <v>14088</v>
      </c>
      <c r="B14" s="31" t="str" cm="1">
        <f t="array" ref="B14">INDEX(T_Info[],MATCH(T_HA[[#This Row],[Codigo]],T_Info[Codigo],0),COLUMN(T_Info[Proyecto]))</f>
        <v>Blest Gana</v>
      </c>
      <c r="C14" s="30" t="str" cm="1">
        <f t="array" ref="C14">INDEX(T_Info[],MATCH(T_HA[[#This Row],[Codigo]],T_Info[Codigo],0),COLUMN(T_Info[T.S]))</f>
        <v>D</v>
      </c>
      <c r="D14" s="34" cm="1">
        <f t="array" ref="D14">INDEX(T_Info[],MATCH(T_HA[[#This Row],[Codigo]],T_Info[Codigo],0),COLUMN(T_Info[Z.S]))</f>
        <v>2</v>
      </c>
      <c r="E14" s="34" cm="1">
        <f t="array" ref="E14">INDEX(T_Info[],MATCH(T_HA[[#This Row],[Codigo]],T_Info[Codigo],0),COLUMN(T_Info[Pisos]))</f>
        <v>18</v>
      </c>
      <c r="F14" s="34" cm="1">
        <f t="array" ref="F14">INDEX(T_Info[],MATCH(T_HA[[#This Row],[Codigo]],T_Info[Codigo],0),COLUMN(T_Info[Subt.]))</f>
        <v>2</v>
      </c>
      <c r="G14" s="35" cm="1">
        <f t="array" ref="G14">INDEX(T_Info[],MATCH(T_HA[[#This Row],[Codigo]],T_Info[Codigo],0),COLUMN(T_Info[Superficie m2]))</f>
        <v>14649</v>
      </c>
      <c r="H14" s="30" t="str" cm="1">
        <f t="array" ref="H14">IF(INDEX(T_Info[],MATCH(T_HA[[#This Row],[Codigo]],T_Info[Codigo],0),COLUMN(T_Info[Postensado]))&lt;&gt;"",INDEX(T_Info[],MATCH(T_HA[[#This Row],[Codigo]],T_Info[Codigo],0),COLUMN(T_Info[Postensado])),"")</f>
        <v/>
      </c>
      <c r="I14" s="30" t="str" cm="1">
        <f t="array" ref="I14">IF(INDEX(T_Info[],MATCH(T_HA[[#This Row],[Codigo]],T_Info[Codigo],0),COLUMN(T_Info[Losa Fundación]))&lt;&gt;"",INDEX(T_Info[],MATCH(T_HA[[#This Row],[Codigo]],T_Info[Codigo],0),COLUMN(T_Info[Losa Fundación])),"")</f>
        <v/>
      </c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>
        <v>0</v>
      </c>
      <c r="V14" s="57">
        <f>IFERROR(T_HA[[#This Row],[Fund m3]]/T_HA[[#This Row],[Superficie m2]],)</f>
        <v>0</v>
      </c>
      <c r="W14" s="57">
        <f>IFERROR(T_HA[[#This Row],[Muros m3]]/T_HA[[#This Row],[Superficie m2]],)</f>
        <v>0</v>
      </c>
      <c r="X14" s="57">
        <f>IFERROR(T_HA[[#This Row],[Muros Int m3]]/T_HA[[#This Row],[Superficie m2]],)</f>
        <v>0</v>
      </c>
      <c r="Y14" s="57">
        <f>IFERROR(T_HA[[#This Row],[Perimetrales m3]]/T_HA[[#This Row],[Superficie m2]],)</f>
        <v>0</v>
      </c>
      <c r="Z14" s="57">
        <f>IFERROR(T_HA[[#This Row],[Vigas m3]]/T_HA[[#This Row],[Superficie m2]],)</f>
        <v>0</v>
      </c>
      <c r="AA14" s="57">
        <f>IFERROR(T_HA[[#This Row],[Losas m3]]/T_HA[[#This Row],[Superficie m2]],)</f>
        <v>0</v>
      </c>
      <c r="AB14" s="57">
        <f>IFERROR(T_HA[[#This Row],[Total m3]]/T_HA[[#This Row],[Superficie m2]],)</f>
        <v>0</v>
      </c>
    </row>
    <row r="15" spans="1:28" s="6" customFormat="1" x14ac:dyDescent="0.25">
      <c r="A15" s="34">
        <v>14097</v>
      </c>
      <c r="B15" s="31" t="str" cm="1">
        <f t="array" ref="B15">INDEX(T_Info[],MATCH(T_HA[[#This Row],[Codigo]],T_Info[Codigo],0),COLUMN(T_Info[Proyecto]))</f>
        <v>Bello Horizonte II</v>
      </c>
      <c r="C15" s="30" t="str" cm="1">
        <f t="array" ref="C15">INDEX(T_Info[],MATCH(T_HA[[#This Row],[Codigo]],T_Info[Codigo],0),COLUMN(T_Info[T.S]))</f>
        <v>B</v>
      </c>
      <c r="D15" s="34" cm="1">
        <f t="array" ref="D15">INDEX(T_Info[],MATCH(T_HA[[#This Row],[Codigo]],T_Info[Codigo],0),COLUMN(T_Info[Z.S]))</f>
        <v>2</v>
      </c>
      <c r="E15" s="34" cm="1">
        <f t="array" ref="E15">INDEX(T_Info[],MATCH(T_HA[[#This Row],[Codigo]],T_Info[Codigo],0),COLUMN(T_Info[Pisos]))</f>
        <v>9</v>
      </c>
      <c r="F15" s="34" cm="1">
        <f t="array" ref="F15">INDEX(T_Info[],MATCH(T_HA[[#This Row],[Codigo]],T_Info[Codigo],0),COLUMN(T_Info[Subt.]))</f>
        <v>2</v>
      </c>
      <c r="G15" s="35" cm="1">
        <f t="array" ref="G15">INDEX(T_Info[],MATCH(T_HA[[#This Row],[Codigo]],T_Info[Codigo],0),COLUMN(T_Info[Superficie m2]))</f>
        <v>10798</v>
      </c>
      <c r="H15" s="30" t="str" cm="1">
        <f t="array" ref="H15">IF(INDEX(T_Info[],MATCH(T_HA[[#This Row],[Codigo]],T_Info[Codigo],0),COLUMN(T_Info[Postensado]))&lt;&gt;"",INDEX(T_Info[],MATCH(T_HA[[#This Row],[Codigo]],T_Info[Codigo],0),COLUMN(T_Info[Postensado])),"")</f>
        <v/>
      </c>
      <c r="I15" s="30" t="str" cm="1">
        <f t="array" ref="I15">IF(INDEX(T_Info[],MATCH(T_HA[[#This Row],[Codigo]],T_Info[Codigo],0),COLUMN(T_Info[Losa Fundación]))&lt;&gt;"",INDEX(T_Info[],MATCH(T_HA[[#This Row],[Codigo]],T_Info[Codigo],0),COLUMN(T_Info[Losa Fundación])),"")</f>
        <v/>
      </c>
      <c r="J15" s="32"/>
      <c r="K15" s="32"/>
      <c r="L15" s="32"/>
      <c r="M15" s="32"/>
      <c r="N15" s="32"/>
      <c r="O15" s="32"/>
      <c r="P15" s="32"/>
      <c r="Q15" s="32"/>
      <c r="R15" s="32"/>
      <c r="S15" s="32"/>
      <c r="T15" s="32"/>
      <c r="U15" s="32">
        <v>0</v>
      </c>
      <c r="V15" s="57">
        <f>IFERROR(T_HA[[#This Row],[Fund m3]]/T_HA[[#This Row],[Superficie m2]],)</f>
        <v>0</v>
      </c>
      <c r="W15" s="57">
        <f>IFERROR(T_HA[[#This Row],[Muros m3]]/T_HA[[#This Row],[Superficie m2]],)</f>
        <v>0</v>
      </c>
      <c r="X15" s="57">
        <f>IFERROR(T_HA[[#This Row],[Muros Int m3]]/T_HA[[#This Row],[Superficie m2]],)</f>
        <v>0</v>
      </c>
      <c r="Y15" s="57">
        <f>IFERROR(T_HA[[#This Row],[Perimetrales m3]]/T_HA[[#This Row],[Superficie m2]],)</f>
        <v>0</v>
      </c>
      <c r="Z15" s="57">
        <f>IFERROR(T_HA[[#This Row],[Vigas m3]]/T_HA[[#This Row],[Superficie m2]],)</f>
        <v>0</v>
      </c>
      <c r="AA15" s="57">
        <f>IFERROR(T_HA[[#This Row],[Losas m3]]/T_HA[[#This Row],[Superficie m2]],)</f>
        <v>0</v>
      </c>
      <c r="AB15" s="57">
        <f>IFERROR(T_HA[[#This Row],[Total m3]]/T_HA[[#This Row],[Superficie m2]],)</f>
        <v>0</v>
      </c>
    </row>
    <row r="16" spans="1:28" s="6" customFormat="1" x14ac:dyDescent="0.25">
      <c r="A16" s="34">
        <v>14134</v>
      </c>
      <c r="B16" s="31" t="str" cm="1">
        <f t="array" ref="B16">INDEX(T_Info[],MATCH(T_HA[[#This Row],[Codigo]],T_Info[Codigo],0),COLUMN(T_Info[Proyecto]))</f>
        <v>Ocoa</v>
      </c>
      <c r="C16" s="30" t="str" cm="1">
        <f t="array" ref="C16">INDEX(T_Info[],MATCH(T_HA[[#This Row],[Codigo]],T_Info[Codigo],0),COLUMN(T_Info[T.S]))</f>
        <v>C</v>
      </c>
      <c r="D16" s="34" cm="1">
        <f t="array" ref="D16">INDEX(T_Info[],MATCH(T_HA[[#This Row],[Codigo]],T_Info[Codigo],0),COLUMN(T_Info[Z.S]))</f>
        <v>3</v>
      </c>
      <c r="E16" s="34" cm="1">
        <f t="array" ref="E16">INDEX(T_Info[],MATCH(T_HA[[#This Row],[Codigo]],T_Info[Codigo],0),COLUMN(T_Info[Pisos]))</f>
        <v>17</v>
      </c>
      <c r="F16" s="34" cm="1">
        <f t="array" ref="F16">INDEX(T_Info[],MATCH(T_HA[[#This Row],[Codigo]],T_Info[Codigo],0),COLUMN(T_Info[Subt.]))</f>
        <v>2</v>
      </c>
      <c r="G16" s="35" cm="1">
        <f t="array" ref="G16">INDEX(T_Info[],MATCH(T_HA[[#This Row],[Codigo]],T_Info[Codigo],0),COLUMN(T_Info[Superficie m2]))</f>
        <v>16835</v>
      </c>
      <c r="H16" s="30" t="str" cm="1">
        <f t="array" ref="H16">IF(INDEX(T_Info[],MATCH(T_HA[[#This Row],[Codigo]],T_Info[Codigo],0),COLUMN(T_Info[Postensado]))&lt;&gt;"",INDEX(T_Info[],MATCH(T_HA[[#This Row],[Codigo]],T_Info[Codigo],0),COLUMN(T_Info[Postensado])),"")</f>
        <v/>
      </c>
      <c r="I16" s="30" t="str" cm="1">
        <f t="array" ref="I16">IF(INDEX(T_Info[],MATCH(T_HA[[#This Row],[Codigo]],T_Info[Codigo],0),COLUMN(T_Info[Losa Fundación]))&lt;&gt;"",INDEX(T_Info[],MATCH(T_HA[[#This Row],[Codigo]],T_Info[Codigo],0),COLUMN(T_Info[Losa Fundación])),"")</f>
        <v/>
      </c>
      <c r="J16" s="32"/>
      <c r="K16" s="32"/>
      <c r="L16" s="32"/>
      <c r="M16" s="32"/>
      <c r="N16" s="32"/>
      <c r="O16" s="32"/>
      <c r="P16" s="32"/>
      <c r="Q16" s="32"/>
      <c r="R16" s="32"/>
      <c r="S16" s="32"/>
      <c r="T16" s="32"/>
      <c r="U16" s="32">
        <v>0</v>
      </c>
      <c r="V16" s="57">
        <f>IFERROR(T_HA[[#This Row],[Fund m3]]/T_HA[[#This Row],[Superficie m2]],)</f>
        <v>0</v>
      </c>
      <c r="W16" s="57">
        <f>IFERROR(T_HA[[#This Row],[Muros m3]]/T_HA[[#This Row],[Superficie m2]],)</f>
        <v>0</v>
      </c>
      <c r="X16" s="57">
        <f>IFERROR(T_HA[[#This Row],[Muros Int m3]]/T_HA[[#This Row],[Superficie m2]],)</f>
        <v>0</v>
      </c>
      <c r="Y16" s="57">
        <f>IFERROR(T_HA[[#This Row],[Perimetrales m3]]/T_HA[[#This Row],[Superficie m2]],)</f>
        <v>0</v>
      </c>
      <c r="Z16" s="57">
        <f>IFERROR(T_HA[[#This Row],[Vigas m3]]/T_HA[[#This Row],[Superficie m2]],)</f>
        <v>0</v>
      </c>
      <c r="AA16" s="57">
        <f>IFERROR(T_HA[[#This Row],[Losas m3]]/T_HA[[#This Row],[Superficie m2]],)</f>
        <v>0</v>
      </c>
      <c r="AB16" s="57">
        <f>IFERROR(T_HA[[#This Row],[Total m3]]/T_HA[[#This Row],[Superficie m2]],)</f>
        <v>0</v>
      </c>
    </row>
    <row r="17" spans="1:29" s="6" customFormat="1" x14ac:dyDescent="0.25">
      <c r="A17" s="34">
        <v>15001</v>
      </c>
      <c r="B17" s="31" t="str" cm="1">
        <f t="array" ref="B17">INDEX(T_Info[],MATCH(T_HA[[#This Row],[Codigo]],T_Info[Codigo],0),COLUMN(T_Info[Proyecto]))</f>
        <v>Nercasseaux</v>
      </c>
      <c r="C17" s="30" t="str" cm="1">
        <f t="array" ref="C17">INDEX(T_Info[],MATCH(T_HA[[#This Row],[Codigo]],T_Info[Codigo],0),COLUMN(T_Info[T.S]))</f>
        <v>B</v>
      </c>
      <c r="D17" s="34" cm="1">
        <f t="array" ref="D17">INDEX(T_Info[],MATCH(T_HA[[#This Row],[Codigo]],T_Info[Codigo],0),COLUMN(T_Info[Z.S]))</f>
        <v>2</v>
      </c>
      <c r="E17" s="34" cm="1">
        <f t="array" ref="E17">INDEX(T_Info[],MATCH(T_HA[[#This Row],[Codigo]],T_Info[Codigo],0),COLUMN(T_Info[Pisos]))</f>
        <v>11</v>
      </c>
      <c r="F17" s="34" cm="1">
        <f t="array" ref="F17">INDEX(T_Info[],MATCH(T_HA[[#This Row],[Codigo]],T_Info[Codigo],0),COLUMN(T_Info[Subt.]))</f>
        <v>2</v>
      </c>
      <c r="G17" s="35" cm="1">
        <f t="array" ref="G17">INDEX(T_Info[],MATCH(T_HA[[#This Row],[Codigo]],T_Info[Codigo],0),COLUMN(T_Info[Superficie m2]))</f>
        <v>10981</v>
      </c>
      <c r="H17" s="30" t="str" cm="1">
        <f t="array" ref="H17">IF(INDEX(T_Info[],MATCH(T_HA[[#This Row],[Codigo]],T_Info[Codigo],0),COLUMN(T_Info[Postensado]))&lt;&gt;"",INDEX(T_Info[],MATCH(T_HA[[#This Row],[Codigo]],T_Info[Codigo],0),COLUMN(T_Info[Postensado])),"")</f>
        <v/>
      </c>
      <c r="I17" s="30" t="str" cm="1">
        <f t="array" ref="I17">IF(INDEX(T_Info[],MATCH(T_HA[[#This Row],[Codigo]],T_Info[Codigo],0),COLUMN(T_Info[Losa Fundación]))&lt;&gt;"",INDEX(T_Info[],MATCH(T_HA[[#This Row],[Codigo]],T_Info[Codigo],0),COLUMN(T_Info[Losa Fundación])),"")</f>
        <v/>
      </c>
      <c r="J17" s="32"/>
      <c r="K17" s="32"/>
      <c r="L17" s="32"/>
      <c r="M17" s="32"/>
      <c r="N17" s="32"/>
      <c r="O17" s="32"/>
      <c r="P17" s="32"/>
      <c r="Q17" s="32"/>
      <c r="R17" s="32"/>
      <c r="S17" s="32"/>
      <c r="T17" s="32"/>
      <c r="U17" s="32">
        <v>0</v>
      </c>
      <c r="V17" s="57">
        <f>IFERROR(T_HA[[#This Row],[Fund m3]]/T_HA[[#This Row],[Superficie m2]],)</f>
        <v>0</v>
      </c>
      <c r="W17" s="57">
        <f>IFERROR(T_HA[[#This Row],[Muros m3]]/T_HA[[#This Row],[Superficie m2]],)</f>
        <v>0</v>
      </c>
      <c r="X17" s="57">
        <f>IFERROR(T_HA[[#This Row],[Muros Int m3]]/T_HA[[#This Row],[Superficie m2]],)</f>
        <v>0</v>
      </c>
      <c r="Y17" s="57">
        <f>IFERROR(T_HA[[#This Row],[Perimetrales m3]]/T_HA[[#This Row],[Superficie m2]],)</f>
        <v>0</v>
      </c>
      <c r="Z17" s="57">
        <f>IFERROR(T_HA[[#This Row],[Vigas m3]]/T_HA[[#This Row],[Superficie m2]],)</f>
        <v>0</v>
      </c>
      <c r="AA17" s="57">
        <f>IFERROR(T_HA[[#This Row],[Losas m3]]/T_HA[[#This Row],[Superficie m2]],)</f>
        <v>0</v>
      </c>
      <c r="AB17" s="57">
        <f>IFERROR(T_HA[[#This Row],[Total m3]]/T_HA[[#This Row],[Superficie m2]],)</f>
        <v>0</v>
      </c>
    </row>
    <row r="18" spans="1:29" s="6" customFormat="1" x14ac:dyDescent="0.25">
      <c r="A18" s="34">
        <v>15007</v>
      </c>
      <c r="B18" s="31" t="str" cm="1">
        <f t="array" ref="B18">INDEX(T_Info[],MATCH(T_HA[[#This Row],[Codigo]],T_Info[Codigo],0),COLUMN(T_Info[Proyecto]))</f>
        <v>Valencia</v>
      </c>
      <c r="C18" s="30" t="str" cm="1">
        <f t="array" ref="C18">INDEX(T_Info[],MATCH(T_HA[[#This Row],[Codigo]],T_Info[Codigo],0),COLUMN(T_Info[T.S]))</f>
        <v>B</v>
      </c>
      <c r="D18" s="34" cm="1">
        <f t="array" ref="D18">INDEX(T_Info[],MATCH(T_HA[[#This Row],[Codigo]],T_Info[Codigo],0),COLUMN(T_Info[Z.S]))</f>
        <v>2</v>
      </c>
      <c r="E18" s="34" cm="1">
        <f t="array" ref="E18">INDEX(T_Info[],MATCH(T_HA[[#This Row],[Codigo]],T_Info[Codigo],0),COLUMN(T_Info[Pisos]))</f>
        <v>7</v>
      </c>
      <c r="F18" s="34" cm="1">
        <f t="array" ref="F18">INDEX(T_Info[],MATCH(T_HA[[#This Row],[Codigo]],T_Info[Codigo],0),COLUMN(T_Info[Subt.]))</f>
        <v>2</v>
      </c>
      <c r="G18" s="35" cm="1">
        <f t="array" ref="G18">INDEX(T_Info[],MATCH(T_HA[[#This Row],[Codigo]],T_Info[Codigo],0),COLUMN(T_Info[Superficie m2]))</f>
        <v>12355</v>
      </c>
      <c r="H18" s="30" t="str" cm="1">
        <f t="array" ref="H18">IF(INDEX(T_Info[],MATCH(T_HA[[#This Row],[Codigo]],T_Info[Codigo],0),COLUMN(T_Info[Postensado]))&lt;&gt;"",INDEX(T_Info[],MATCH(T_HA[[#This Row],[Codigo]],T_Info[Codigo],0),COLUMN(T_Info[Postensado])),"")</f>
        <v/>
      </c>
      <c r="I18" s="30" t="str" cm="1">
        <f t="array" ref="I18">IF(INDEX(T_Info[],MATCH(T_HA[[#This Row],[Codigo]],T_Info[Codigo],0),COLUMN(T_Info[Losa Fundación]))&lt;&gt;"",INDEX(T_Info[],MATCH(T_HA[[#This Row],[Codigo]],T_Info[Codigo],0),COLUMN(T_Info[Losa Fundación])),"")</f>
        <v/>
      </c>
      <c r="J18" s="32"/>
      <c r="K18" s="32"/>
      <c r="L18" s="32"/>
      <c r="M18" s="32"/>
      <c r="N18" s="32"/>
      <c r="O18" s="32"/>
      <c r="P18" s="32"/>
      <c r="Q18" s="32"/>
      <c r="R18" s="32"/>
      <c r="S18" s="32"/>
      <c r="T18" s="32"/>
      <c r="U18" s="32">
        <v>0</v>
      </c>
      <c r="V18" s="57">
        <f>IFERROR(T_HA[[#This Row],[Fund m3]]/T_HA[[#This Row],[Superficie m2]],)</f>
        <v>0</v>
      </c>
      <c r="W18" s="57">
        <f>IFERROR(T_HA[[#This Row],[Muros m3]]/T_HA[[#This Row],[Superficie m2]],)</f>
        <v>0</v>
      </c>
      <c r="X18" s="57">
        <f>IFERROR(T_HA[[#This Row],[Muros Int m3]]/T_HA[[#This Row],[Superficie m2]],)</f>
        <v>0</v>
      </c>
      <c r="Y18" s="57">
        <f>IFERROR(T_HA[[#This Row],[Perimetrales m3]]/T_HA[[#This Row],[Superficie m2]],)</f>
        <v>0</v>
      </c>
      <c r="Z18" s="57">
        <f>IFERROR(T_HA[[#This Row],[Vigas m3]]/T_HA[[#This Row],[Superficie m2]],)</f>
        <v>0</v>
      </c>
      <c r="AA18" s="57">
        <f>IFERROR(T_HA[[#This Row],[Losas m3]]/T_HA[[#This Row],[Superficie m2]],)</f>
        <v>0</v>
      </c>
      <c r="AB18" s="57">
        <f>IFERROR(T_HA[[#This Row],[Total m3]]/T_HA[[#This Row],[Superficie m2]],)</f>
        <v>0</v>
      </c>
    </row>
    <row r="19" spans="1:29" s="6" customFormat="1" x14ac:dyDescent="0.25">
      <c r="A19" s="34">
        <v>15044</v>
      </c>
      <c r="B19" s="31" t="str" cm="1">
        <f t="array" ref="B19">INDEX(T_Info[],MATCH(T_HA[[#This Row],[Codigo]],T_Info[Codigo],0),COLUMN(T_Info[Proyecto]))</f>
        <v>Montenegro</v>
      </c>
      <c r="C19" s="30" t="str" cm="1">
        <f t="array" ref="C19">INDEX(T_Info[],MATCH(T_HA[[#This Row],[Codigo]],T_Info[Codigo],0),COLUMN(T_Info[T.S]))</f>
        <v>B</v>
      </c>
      <c r="D19" s="34" cm="1">
        <f t="array" ref="D19">INDEX(T_Info[],MATCH(T_HA[[#This Row],[Codigo]],T_Info[Codigo],0),COLUMN(T_Info[Z.S]))</f>
        <v>2</v>
      </c>
      <c r="E19" s="34" cm="1">
        <f t="array" ref="E19">INDEX(T_Info[],MATCH(T_HA[[#This Row],[Codigo]],T_Info[Codigo],0),COLUMN(T_Info[Pisos]))</f>
        <v>5</v>
      </c>
      <c r="F19" s="34" cm="1">
        <f t="array" ref="F19">INDEX(T_Info[],MATCH(T_HA[[#This Row],[Codigo]],T_Info[Codigo],0),COLUMN(T_Info[Subt.]))</f>
        <v>2</v>
      </c>
      <c r="G19" s="35" cm="1">
        <f t="array" ref="G19">INDEX(T_Info[],MATCH(T_HA[[#This Row],[Codigo]],T_Info[Codigo],0),COLUMN(T_Info[Superficie m2]))</f>
        <v>11392</v>
      </c>
      <c r="H19" s="30" t="str" cm="1">
        <f t="array" ref="H19">IF(INDEX(T_Info[],MATCH(T_HA[[#This Row],[Codigo]],T_Info[Codigo],0),COLUMN(T_Info[Postensado]))&lt;&gt;"",INDEX(T_Info[],MATCH(T_HA[[#This Row],[Codigo]],T_Info[Codigo],0),COLUMN(T_Info[Postensado])),"")</f>
        <v/>
      </c>
      <c r="I19" s="30" t="str" cm="1">
        <f t="array" ref="I19">IF(INDEX(T_Info[],MATCH(T_HA[[#This Row],[Codigo]],T_Info[Codigo],0),COLUMN(T_Info[Losa Fundación]))&lt;&gt;"",INDEX(T_Info[],MATCH(T_HA[[#This Row],[Codigo]],T_Info[Codigo],0),COLUMN(T_Info[Losa Fundación])),"")</f>
        <v/>
      </c>
      <c r="J19" s="32"/>
      <c r="K19" s="32"/>
      <c r="L19" s="32"/>
      <c r="M19" s="32"/>
      <c r="N19" s="32"/>
      <c r="O19" s="32"/>
      <c r="P19" s="32"/>
      <c r="Q19" s="32"/>
      <c r="R19" s="32"/>
      <c r="S19" s="32"/>
      <c r="T19" s="32"/>
      <c r="U19" s="32">
        <v>0</v>
      </c>
      <c r="V19" s="57">
        <f>IFERROR(T_HA[[#This Row],[Fund m3]]/T_HA[[#This Row],[Superficie m2]],)</f>
        <v>0</v>
      </c>
      <c r="W19" s="57">
        <f>IFERROR(T_HA[[#This Row],[Muros m3]]/T_HA[[#This Row],[Superficie m2]],)</f>
        <v>0</v>
      </c>
      <c r="X19" s="57">
        <f>IFERROR(T_HA[[#This Row],[Muros Int m3]]/T_HA[[#This Row],[Superficie m2]],)</f>
        <v>0</v>
      </c>
      <c r="Y19" s="57">
        <f>IFERROR(T_HA[[#This Row],[Perimetrales m3]]/T_HA[[#This Row],[Superficie m2]],)</f>
        <v>0</v>
      </c>
      <c r="Z19" s="57">
        <f>IFERROR(T_HA[[#This Row],[Vigas m3]]/T_HA[[#This Row],[Superficie m2]],)</f>
        <v>0</v>
      </c>
      <c r="AA19" s="57">
        <f>IFERROR(T_HA[[#This Row],[Losas m3]]/T_HA[[#This Row],[Superficie m2]],)</f>
        <v>0</v>
      </c>
      <c r="AB19" s="57">
        <f>IFERROR(T_HA[[#This Row],[Total m3]]/T_HA[[#This Row],[Superficie m2]],)</f>
        <v>0</v>
      </c>
    </row>
    <row r="20" spans="1:29" s="6" customFormat="1" x14ac:dyDescent="0.25">
      <c r="A20" s="34">
        <v>15088</v>
      </c>
      <c r="B20" s="31" t="str" cm="1">
        <f t="array" ref="B20">INDEX(T_Info[],MATCH(T_HA[[#This Row],[Codigo]],T_Info[Codigo],0),COLUMN(T_Info[Proyecto]))</f>
        <v>San Francisco</v>
      </c>
      <c r="C20" s="30" t="str" cm="1">
        <f t="array" ref="C20">INDEX(T_Info[],MATCH(T_HA[[#This Row],[Codigo]],T_Info[Codigo],0),COLUMN(T_Info[T.S]))</f>
        <v>B</v>
      </c>
      <c r="D20" s="34" cm="1">
        <f t="array" ref="D20">INDEX(T_Info[],MATCH(T_HA[[#This Row],[Codigo]],T_Info[Codigo],0),COLUMN(T_Info[Z.S]))</f>
        <v>2</v>
      </c>
      <c r="E20" s="34" cm="1">
        <f t="array" ref="E20">INDEX(T_Info[],MATCH(T_HA[[#This Row],[Codigo]],T_Info[Codigo],0),COLUMN(T_Info[Pisos]))</f>
        <v>10</v>
      </c>
      <c r="F20" s="34" cm="1">
        <f t="array" ref="F20">INDEX(T_Info[],MATCH(T_HA[[#This Row],[Codigo]],T_Info[Codigo],0),COLUMN(T_Info[Subt.]))</f>
        <v>3</v>
      </c>
      <c r="G20" s="35" cm="1">
        <f t="array" ref="G20">INDEX(T_Info[],MATCH(T_HA[[#This Row],[Codigo]],T_Info[Codigo],0),COLUMN(T_Info[Superficie m2]))</f>
        <v>23058</v>
      </c>
      <c r="H20" s="30" t="str" cm="1">
        <f t="array" ref="H20">IF(INDEX(T_Info[],MATCH(T_HA[[#This Row],[Codigo]],T_Info[Codigo],0),COLUMN(T_Info[Postensado]))&lt;&gt;"",INDEX(T_Info[],MATCH(T_HA[[#This Row],[Codigo]],T_Info[Codigo],0),COLUMN(T_Info[Postensado])),"")</f>
        <v/>
      </c>
      <c r="I20" s="30" t="str" cm="1">
        <f t="array" ref="I20">IF(INDEX(T_Info[],MATCH(T_HA[[#This Row],[Codigo]],T_Info[Codigo],0),COLUMN(T_Info[Losa Fundación]))&lt;&gt;"",INDEX(T_Info[],MATCH(T_HA[[#This Row],[Codigo]],T_Info[Codigo],0),COLUMN(T_Info[Losa Fundación])),"")</f>
        <v/>
      </c>
      <c r="J20" s="32"/>
      <c r="K20" s="32"/>
      <c r="L20" s="32"/>
      <c r="M20" s="32"/>
      <c r="N20" s="32"/>
      <c r="O20" s="32"/>
      <c r="P20" s="32"/>
      <c r="Q20" s="32"/>
      <c r="R20" s="32"/>
      <c r="S20" s="32"/>
      <c r="T20" s="32"/>
      <c r="U20" s="32">
        <v>0</v>
      </c>
      <c r="V20" s="57">
        <f>IFERROR(T_HA[[#This Row],[Fund m3]]/T_HA[[#This Row],[Superficie m2]],)</f>
        <v>0</v>
      </c>
      <c r="W20" s="57">
        <f>IFERROR(T_HA[[#This Row],[Muros m3]]/T_HA[[#This Row],[Superficie m2]],)</f>
        <v>0</v>
      </c>
      <c r="X20" s="57">
        <f>IFERROR(T_HA[[#This Row],[Muros Int m3]]/T_HA[[#This Row],[Superficie m2]],)</f>
        <v>0</v>
      </c>
      <c r="Y20" s="57">
        <f>IFERROR(T_HA[[#This Row],[Perimetrales m3]]/T_HA[[#This Row],[Superficie m2]],)</f>
        <v>0</v>
      </c>
      <c r="Z20" s="57">
        <f>IFERROR(T_HA[[#This Row],[Vigas m3]]/T_HA[[#This Row],[Superficie m2]],)</f>
        <v>0</v>
      </c>
      <c r="AA20" s="57">
        <f>IFERROR(T_HA[[#This Row],[Losas m3]]/T_HA[[#This Row],[Superficie m2]],)</f>
        <v>0</v>
      </c>
      <c r="AB20" s="57">
        <f>IFERROR(T_HA[[#This Row],[Total m3]]/T_HA[[#This Row],[Superficie m2]],)</f>
        <v>0</v>
      </c>
    </row>
    <row r="21" spans="1:29" s="6" customFormat="1" x14ac:dyDescent="0.25">
      <c r="A21" s="34">
        <v>15103</v>
      </c>
      <c r="B21" s="31" t="str" cm="1">
        <f t="array" ref="B21">INDEX(T_Info[],MATCH(T_HA[[#This Row],[Codigo]],T_Info[Codigo],0),COLUMN(T_Info[Proyecto]))</f>
        <v>Cap. Orella</v>
      </c>
      <c r="C21" s="30" t="str" cm="1">
        <f t="array" ref="C21">INDEX(T_Info[],MATCH(T_HA[[#This Row],[Codigo]],T_Info[Codigo],0),COLUMN(T_Info[T.S]))</f>
        <v>B</v>
      </c>
      <c r="D21" s="34" cm="1">
        <f t="array" ref="D21">INDEX(T_Info[],MATCH(T_HA[[#This Row],[Codigo]],T_Info[Codigo],0),COLUMN(T_Info[Z.S]))</f>
        <v>2</v>
      </c>
      <c r="E21" s="34" cm="1">
        <f t="array" ref="E21">INDEX(T_Info[],MATCH(T_HA[[#This Row],[Codigo]],T_Info[Codigo],0),COLUMN(T_Info[Pisos]))</f>
        <v>16</v>
      </c>
      <c r="F21" s="34" cm="1">
        <f t="array" ref="F21">INDEX(T_Info[],MATCH(T_HA[[#This Row],[Codigo]],T_Info[Codigo],0),COLUMN(T_Info[Subt.]))</f>
        <v>3</v>
      </c>
      <c r="G21" s="35" cm="1">
        <f t="array" ref="G21">INDEX(T_Info[],MATCH(T_HA[[#This Row],[Codigo]],T_Info[Codigo],0),COLUMN(T_Info[Superficie m2]))</f>
        <v>19333</v>
      </c>
      <c r="H21" s="30" t="str" cm="1">
        <f t="array" ref="H21">IF(INDEX(T_Info[],MATCH(T_HA[[#This Row],[Codigo]],T_Info[Codigo],0),COLUMN(T_Info[Postensado]))&lt;&gt;"",INDEX(T_Info[],MATCH(T_HA[[#This Row],[Codigo]],T_Info[Codigo],0),COLUMN(T_Info[Postensado])),"")</f>
        <v/>
      </c>
      <c r="I21" s="30" t="str" cm="1">
        <f t="array" ref="I21">IF(INDEX(T_Info[],MATCH(T_HA[[#This Row],[Codigo]],T_Info[Codigo],0),COLUMN(T_Info[Losa Fundación]))&lt;&gt;"",INDEX(T_Info[],MATCH(T_HA[[#This Row],[Codigo]],T_Info[Codigo],0),COLUMN(T_Info[Losa Fundación])),"")</f>
        <v/>
      </c>
      <c r="J21" s="32"/>
      <c r="K21" s="32"/>
      <c r="L21" s="32"/>
      <c r="M21" s="32"/>
      <c r="N21" s="32"/>
      <c r="O21" s="32"/>
      <c r="P21" s="32"/>
      <c r="Q21" s="32"/>
      <c r="R21" s="32"/>
      <c r="S21" s="32"/>
      <c r="T21" s="32"/>
      <c r="U21" s="32">
        <v>0</v>
      </c>
      <c r="V21" s="57">
        <f>IFERROR(T_HA[[#This Row],[Fund m3]]/T_HA[[#This Row],[Superficie m2]],)</f>
        <v>0</v>
      </c>
      <c r="W21" s="57">
        <f>IFERROR(T_HA[[#This Row],[Muros m3]]/T_HA[[#This Row],[Superficie m2]],)</f>
        <v>0</v>
      </c>
      <c r="X21" s="57">
        <f>IFERROR(T_HA[[#This Row],[Muros Int m3]]/T_HA[[#This Row],[Superficie m2]],)</f>
        <v>0</v>
      </c>
      <c r="Y21" s="57">
        <f>IFERROR(T_HA[[#This Row],[Perimetrales m3]]/T_HA[[#This Row],[Superficie m2]],)</f>
        <v>0</v>
      </c>
      <c r="Z21" s="57">
        <f>IFERROR(T_HA[[#This Row],[Vigas m3]]/T_HA[[#This Row],[Superficie m2]],)</f>
        <v>0</v>
      </c>
      <c r="AA21" s="57">
        <f>IFERROR(T_HA[[#This Row],[Losas m3]]/T_HA[[#This Row],[Superficie m2]],)</f>
        <v>0</v>
      </c>
      <c r="AB21" s="57">
        <f>IFERROR(T_HA[[#This Row],[Total m3]]/T_HA[[#This Row],[Superficie m2]],)</f>
        <v>0</v>
      </c>
    </row>
    <row r="22" spans="1:29" s="6" customFormat="1" x14ac:dyDescent="0.25">
      <c r="A22" s="34">
        <v>15106</v>
      </c>
      <c r="B22" s="31" t="str" cm="1">
        <f t="array" ref="B22">INDEX(T_Info[],MATCH(T_HA[[#This Row],[Codigo]],T_Info[Codigo],0),COLUMN(T_Info[Proyecto]))</f>
        <v>Tocornal 2</v>
      </c>
      <c r="C22" s="30" t="str" cm="1">
        <f t="array" ref="C22">INDEX(T_Info[],MATCH(T_HA[[#This Row],[Codigo]],T_Info[Codigo],0),COLUMN(T_Info[T.S]))</f>
        <v>B</v>
      </c>
      <c r="D22" s="34" cm="1">
        <f t="array" ref="D22">INDEX(T_Info[],MATCH(T_HA[[#This Row],[Codigo]],T_Info[Codigo],0),COLUMN(T_Info[Z.S]))</f>
        <v>2</v>
      </c>
      <c r="E22" s="34" cm="1">
        <f t="array" ref="E22">INDEX(T_Info[],MATCH(T_HA[[#This Row],[Codigo]],T_Info[Codigo],0),COLUMN(T_Info[Pisos]))</f>
        <v>9</v>
      </c>
      <c r="F22" s="34" cm="1">
        <f t="array" ref="F22">INDEX(T_Info[],MATCH(T_HA[[#This Row],[Codigo]],T_Info[Codigo],0),COLUMN(T_Info[Subt.]))</f>
        <v>2</v>
      </c>
      <c r="G22" s="35" cm="1">
        <f t="array" ref="G22">INDEX(T_Info[],MATCH(T_HA[[#This Row],[Codigo]],T_Info[Codigo],0),COLUMN(T_Info[Superficie m2]))</f>
        <v>10068</v>
      </c>
      <c r="H22" s="30" t="str" cm="1">
        <f t="array" ref="H22">IF(INDEX(T_Info[],MATCH(T_HA[[#This Row],[Codigo]],T_Info[Codigo],0),COLUMN(T_Info[Postensado]))&lt;&gt;"",INDEX(T_Info[],MATCH(T_HA[[#This Row],[Codigo]],T_Info[Codigo],0),COLUMN(T_Info[Postensado])),"")</f>
        <v/>
      </c>
      <c r="I22" s="30" t="str" cm="1">
        <f t="array" ref="I22">IF(INDEX(T_Info[],MATCH(T_HA[[#This Row],[Codigo]],T_Info[Codigo],0),COLUMN(T_Info[Losa Fundación]))&lt;&gt;"",INDEX(T_Info[],MATCH(T_HA[[#This Row],[Codigo]],T_Info[Codigo],0),COLUMN(T_Info[Losa Fundación])),"")</f>
        <v/>
      </c>
      <c r="J22" s="32"/>
      <c r="K22" s="32"/>
      <c r="L22" s="32"/>
      <c r="M22" s="32"/>
      <c r="N22" s="32"/>
      <c r="O22" s="32"/>
      <c r="P22" s="32"/>
      <c r="Q22" s="32"/>
      <c r="R22" s="32"/>
      <c r="S22" s="32"/>
      <c r="T22" s="32"/>
      <c r="U22" s="32">
        <v>0</v>
      </c>
      <c r="V22" s="57">
        <f>IFERROR(T_HA[[#This Row],[Fund m3]]/T_HA[[#This Row],[Superficie m2]],)</f>
        <v>0</v>
      </c>
      <c r="W22" s="57">
        <f>IFERROR(T_HA[[#This Row],[Muros m3]]/T_HA[[#This Row],[Superficie m2]],)</f>
        <v>0</v>
      </c>
      <c r="X22" s="57">
        <f>IFERROR(T_HA[[#This Row],[Muros Int m3]]/T_HA[[#This Row],[Superficie m2]],)</f>
        <v>0</v>
      </c>
      <c r="Y22" s="57">
        <f>IFERROR(T_HA[[#This Row],[Perimetrales m3]]/T_HA[[#This Row],[Superficie m2]],)</f>
        <v>0</v>
      </c>
      <c r="Z22" s="57">
        <f>IFERROR(T_HA[[#This Row],[Vigas m3]]/T_HA[[#This Row],[Superficie m2]],)</f>
        <v>0</v>
      </c>
      <c r="AA22" s="57">
        <f>IFERROR(T_HA[[#This Row],[Losas m3]]/T_HA[[#This Row],[Superficie m2]],)</f>
        <v>0</v>
      </c>
      <c r="AB22" s="57">
        <f>IFERROR(T_HA[[#This Row],[Total m3]]/T_HA[[#This Row],[Superficie m2]],)</f>
        <v>0</v>
      </c>
    </row>
    <row r="23" spans="1:29" s="6" customFormat="1" x14ac:dyDescent="0.25">
      <c r="A23" s="34">
        <v>16001</v>
      </c>
      <c r="B23" s="31" t="str" cm="1">
        <f t="array" ref="B23">INDEX(T_Info[],MATCH(T_HA[[#This Row],[Codigo]],T_Info[Codigo],0),COLUMN(T_Info[Proyecto]))</f>
        <v>Suecia</v>
      </c>
      <c r="C23" s="30" t="str" cm="1">
        <f t="array" ref="C23">INDEX(T_Info[],MATCH(T_HA[[#This Row],[Codigo]],T_Info[Codigo],0),COLUMN(T_Info[T.S]))</f>
        <v>B</v>
      </c>
      <c r="D23" s="34" cm="1">
        <f t="array" ref="D23">INDEX(T_Info[],MATCH(T_HA[[#This Row],[Codigo]],T_Info[Codigo],0),COLUMN(T_Info[Z.S]))</f>
        <v>2</v>
      </c>
      <c r="E23" s="34" cm="1">
        <f t="array" ref="E23">INDEX(T_Info[],MATCH(T_HA[[#This Row],[Codigo]],T_Info[Codigo],0),COLUMN(T_Info[Pisos]))</f>
        <v>7</v>
      </c>
      <c r="F23" s="34" cm="1">
        <f t="array" ref="F23">INDEX(T_Info[],MATCH(T_HA[[#This Row],[Codigo]],T_Info[Codigo],0),COLUMN(T_Info[Subt.]))</f>
        <v>2</v>
      </c>
      <c r="G23" s="35" cm="1">
        <f t="array" ref="G23">INDEX(T_Info[],MATCH(T_HA[[#This Row],[Codigo]],T_Info[Codigo],0),COLUMN(T_Info[Superficie m2]))</f>
        <v>11324</v>
      </c>
      <c r="H23" s="30" t="str" cm="1">
        <f t="array" ref="H23">IF(INDEX(T_Info[],MATCH(T_HA[[#This Row],[Codigo]],T_Info[Codigo],0),COLUMN(T_Info[Postensado]))&lt;&gt;"",INDEX(T_Info[],MATCH(T_HA[[#This Row],[Codigo]],T_Info[Codigo],0),COLUMN(T_Info[Postensado])),"")</f>
        <v/>
      </c>
      <c r="I23" s="30" t="str" cm="1">
        <f t="array" ref="I23">IF(INDEX(T_Info[],MATCH(T_HA[[#This Row],[Codigo]],T_Info[Codigo],0),COLUMN(T_Info[Losa Fundación]))&lt;&gt;"",INDEX(T_Info[],MATCH(T_HA[[#This Row],[Codigo]],T_Info[Codigo],0),COLUMN(T_Info[Losa Fundación])),"")</f>
        <v/>
      </c>
      <c r="J23" s="32">
        <v>225.4</v>
      </c>
      <c r="K23" s="32"/>
      <c r="L23" s="32">
        <v>1541.5</v>
      </c>
      <c r="M23" s="32" t="s">
        <v>207</v>
      </c>
      <c r="N23" s="32" t="s">
        <v>207</v>
      </c>
      <c r="O23" s="32">
        <v>254.8</v>
      </c>
      <c r="P23" s="32"/>
      <c r="Q23" s="32"/>
      <c r="R23" s="32">
        <v>1807.1</v>
      </c>
      <c r="S23" s="32">
        <v>0</v>
      </c>
      <c r="T23" s="32"/>
      <c r="U23" s="32">
        <v>2287.3000000000002</v>
      </c>
      <c r="V23" s="57">
        <f>IFERROR(T_HA[[#This Row],[Fund m3]]/T_HA[[#This Row],[Superficie m2]],)</f>
        <v>1.9904627340162486E-2</v>
      </c>
      <c r="W23" s="57">
        <f>IFERROR(T_HA[[#This Row],[Muros m3]]/T_HA[[#This Row],[Superficie m2]],)</f>
        <v>0.13612681031437654</v>
      </c>
      <c r="X23" s="57">
        <f>IFERROR(T_HA[[#This Row],[Muros Int m3]]/T_HA[[#This Row],[Superficie m2]],)</f>
        <v>0</v>
      </c>
      <c r="Y23" s="57">
        <f>IFERROR(T_HA[[#This Row],[Perimetrales m3]]/T_HA[[#This Row],[Superficie m2]],)</f>
        <v>0</v>
      </c>
      <c r="Z23" s="57">
        <f>IFERROR(T_HA[[#This Row],[Vigas m3]]/T_HA[[#This Row],[Superficie m2]],)</f>
        <v>2.2500883080183682E-2</v>
      </c>
      <c r="AA23" s="57">
        <f>IFERROR(T_HA[[#This Row],[Losas m3]]/T_HA[[#This Row],[Superficie m2]],)</f>
        <v>0.15958141999293535</v>
      </c>
      <c r="AB23" s="57">
        <f>IFERROR(T_HA[[#This Row],[Total m3]]/T_HA[[#This Row],[Superficie m2]],)</f>
        <v>0.20198693041328153</v>
      </c>
    </row>
    <row r="24" spans="1:29" s="6" customFormat="1" x14ac:dyDescent="0.25">
      <c r="A24" s="34">
        <v>16002</v>
      </c>
      <c r="B24" s="31" t="str" cm="1">
        <f t="array" ref="B24">INDEX(T_Info[],MATCH(T_HA[[#This Row],[Codigo]],T_Info[Codigo],0),COLUMN(T_Info[Proyecto]))</f>
        <v>Mujica T1</v>
      </c>
      <c r="C24" s="30" t="str" cm="1">
        <f t="array" ref="C24">INDEX(T_Info[],MATCH(T_HA[[#This Row],[Codigo]],T_Info[Codigo],0),COLUMN(T_Info[T.S]))</f>
        <v>B</v>
      </c>
      <c r="D24" s="34" cm="1">
        <f t="array" ref="D24">INDEX(T_Info[],MATCH(T_HA[[#This Row],[Codigo]],T_Info[Codigo],0),COLUMN(T_Info[Z.S]))</f>
        <v>2</v>
      </c>
      <c r="E24" s="34" cm="1">
        <f t="array" ref="E24">INDEX(T_Info[],MATCH(T_HA[[#This Row],[Codigo]],T_Info[Codigo],0),COLUMN(T_Info[Pisos]))</f>
        <v>13</v>
      </c>
      <c r="F24" s="34" cm="1">
        <f t="array" ref="F24">INDEX(T_Info[],MATCH(T_HA[[#This Row],[Codigo]],T_Info[Codigo],0),COLUMN(T_Info[Subt.]))</f>
        <v>2</v>
      </c>
      <c r="G24" s="35" cm="1">
        <f t="array" ref="G24">INDEX(T_Info[],MATCH(T_HA[[#This Row],[Codigo]],T_Info[Codigo],0),COLUMN(T_Info[Superficie m2]))</f>
        <v>11607</v>
      </c>
      <c r="H24" s="30" t="str" cm="1">
        <f t="array" ref="H24">IF(INDEX(T_Info[],MATCH(T_HA[[#This Row],[Codigo]],T_Info[Codigo],0),COLUMN(T_Info[Postensado]))&lt;&gt;"",INDEX(T_Info[],MATCH(T_HA[[#This Row],[Codigo]],T_Info[Codigo],0),COLUMN(T_Info[Postensado])),"")</f>
        <v/>
      </c>
      <c r="I24" s="30" t="str" cm="1">
        <f t="array" ref="I24">IF(INDEX(T_Info[],MATCH(T_HA[[#This Row],[Codigo]],T_Info[Codigo],0),COLUMN(T_Info[Losa Fundación]))&lt;&gt;"",INDEX(T_Info[],MATCH(T_HA[[#This Row],[Codigo]],T_Info[Codigo],0),COLUMN(T_Info[Losa Fundación])),"")</f>
        <v/>
      </c>
      <c r="J24" s="32">
        <v>250.2</v>
      </c>
      <c r="K24" s="32"/>
      <c r="L24" s="32">
        <v>1493.3</v>
      </c>
      <c r="M24" s="32" t="s">
        <v>207</v>
      </c>
      <c r="N24" s="32" t="s">
        <v>207</v>
      </c>
      <c r="O24" s="32">
        <v>319.39999999999998</v>
      </c>
      <c r="P24" s="32"/>
      <c r="Q24" s="32"/>
      <c r="R24" s="32">
        <v>1902.2</v>
      </c>
      <c r="S24" s="32">
        <v>31</v>
      </c>
      <c r="T24" s="32"/>
      <c r="U24" s="32">
        <v>2502.8000000000002</v>
      </c>
      <c r="V24" s="57">
        <f>IFERROR(T_HA[[#This Row],[Fund m3]]/T_HA[[#This Row],[Superficie m2]],)</f>
        <v>2.1555957611785991E-2</v>
      </c>
      <c r="W24" s="57">
        <f>IFERROR(T_HA[[#This Row],[Muros m3]]/T_HA[[#This Row],[Superficie m2]],)</f>
        <v>0.12865512190919273</v>
      </c>
      <c r="X24" s="57">
        <f>IFERROR(T_HA[[#This Row],[Muros Int m3]]/T_HA[[#This Row],[Superficie m2]],)</f>
        <v>0</v>
      </c>
      <c r="Y24" s="57">
        <f>IFERROR(T_HA[[#This Row],[Perimetrales m3]]/T_HA[[#This Row],[Superficie m2]],)</f>
        <v>0</v>
      </c>
      <c r="Z24" s="57">
        <f>IFERROR(T_HA[[#This Row],[Vigas m3]]/T_HA[[#This Row],[Superficie m2]],)</f>
        <v>2.7517877143103296E-2</v>
      </c>
      <c r="AA24" s="57">
        <f>IFERROR(T_HA[[#This Row],[Losas m3]]/T_HA[[#This Row],[Superficie m2]],)</f>
        <v>0.16388386318600845</v>
      </c>
      <c r="AB24" s="57">
        <f>IFERROR(T_HA[[#This Row],[Total m3]]/T_HA[[#This Row],[Superficie m2]],)</f>
        <v>0.21562850004307746</v>
      </c>
    </row>
    <row r="25" spans="1:29" s="6" customFormat="1" x14ac:dyDescent="0.25">
      <c r="A25" s="34">
        <v>16003</v>
      </c>
      <c r="B25" s="31" t="str" cm="1">
        <f t="array" ref="B25">INDEX(T_Info[],MATCH(T_HA[[#This Row],[Codigo]],T_Info[Codigo],0),COLUMN(T_Info[Proyecto]))</f>
        <v>Mujica T2</v>
      </c>
      <c r="C25" s="30" t="str" cm="1">
        <f t="array" ref="C25">INDEX(T_Info[],MATCH(T_HA[[#This Row],[Codigo]],T_Info[Codigo],0),COLUMN(T_Info[T.S]))</f>
        <v>B</v>
      </c>
      <c r="D25" s="34" cm="1">
        <f t="array" ref="D25">INDEX(T_Info[],MATCH(T_HA[[#This Row],[Codigo]],T_Info[Codigo],0),COLUMN(T_Info[Z.S]))</f>
        <v>2</v>
      </c>
      <c r="E25" s="34" cm="1">
        <f t="array" ref="E25">INDEX(T_Info[],MATCH(T_HA[[#This Row],[Codigo]],T_Info[Codigo],0),COLUMN(T_Info[Pisos]))</f>
        <v>14</v>
      </c>
      <c r="F25" s="34" cm="1">
        <f t="array" ref="F25">INDEX(T_Info[],MATCH(T_HA[[#This Row],[Codigo]],T_Info[Codigo],0),COLUMN(T_Info[Subt.]))</f>
        <v>3</v>
      </c>
      <c r="G25" s="35" cm="1">
        <f t="array" ref="G25">INDEX(T_Info[],MATCH(T_HA[[#This Row],[Codigo]],T_Info[Codigo],0),COLUMN(T_Info[Superficie m2]))</f>
        <v>15412</v>
      </c>
      <c r="H25" s="30" t="str" cm="1">
        <f t="array" ref="H25">IF(INDEX(T_Info[],MATCH(T_HA[[#This Row],[Codigo]],T_Info[Codigo],0),COLUMN(T_Info[Postensado]))&lt;&gt;"",INDEX(T_Info[],MATCH(T_HA[[#This Row],[Codigo]],T_Info[Codigo],0),COLUMN(T_Info[Postensado])),"")</f>
        <v/>
      </c>
      <c r="I25" s="30" t="str" cm="1">
        <f t="array" ref="I25">IF(INDEX(T_Info[],MATCH(T_HA[[#This Row],[Codigo]],T_Info[Codigo],0),COLUMN(T_Info[Losa Fundación]))&lt;&gt;"",INDEX(T_Info[],MATCH(T_HA[[#This Row],[Codigo]],T_Info[Codigo],0),COLUMN(T_Info[Losa Fundación])),"")</f>
        <v/>
      </c>
      <c r="J25" s="32">
        <v>262.60000000000002</v>
      </c>
      <c r="K25" s="32"/>
      <c r="L25" s="32">
        <v>1921.4</v>
      </c>
      <c r="M25" s="32" t="s">
        <v>207</v>
      </c>
      <c r="N25" s="32" t="s">
        <v>207</v>
      </c>
      <c r="O25" s="32">
        <v>434.1</v>
      </c>
      <c r="P25" s="32"/>
      <c r="Q25" s="32"/>
      <c r="R25" s="32">
        <v>2523.3000000000002</v>
      </c>
      <c r="S25" s="32">
        <v>0</v>
      </c>
      <c r="T25" s="32"/>
      <c r="U25" s="32">
        <v>3220</v>
      </c>
      <c r="V25" s="57">
        <f>IFERROR(T_HA[[#This Row],[Fund m3]]/T_HA[[#This Row],[Superficie m2]],)</f>
        <v>1.703867116532572E-2</v>
      </c>
      <c r="W25" s="57">
        <f>IFERROR(T_HA[[#This Row],[Muros m3]]/T_HA[[#This Row],[Superficie m2]],)</f>
        <v>0.12466908902154167</v>
      </c>
      <c r="X25" s="57">
        <f>IFERROR(T_HA[[#This Row],[Muros Int m3]]/T_HA[[#This Row],[Superficie m2]],)</f>
        <v>0</v>
      </c>
      <c r="Y25" s="57">
        <f>IFERROR(T_HA[[#This Row],[Perimetrales m3]]/T_HA[[#This Row],[Superficie m2]],)</f>
        <v>0</v>
      </c>
      <c r="Z25" s="57">
        <f>IFERROR(T_HA[[#This Row],[Vigas m3]]/T_HA[[#This Row],[Superficie m2]],)</f>
        <v>2.8166363872307296E-2</v>
      </c>
      <c r="AA25" s="57">
        <f>IFERROR(T_HA[[#This Row],[Losas m3]]/T_HA[[#This Row],[Superficie m2]],)</f>
        <v>0.16372307293018429</v>
      </c>
      <c r="AB25" s="57">
        <f>IFERROR(T_HA[[#This Row],[Total m3]]/T_HA[[#This Row],[Superficie m2]],)</f>
        <v>0.20892810796781727</v>
      </c>
    </row>
    <row r="26" spans="1:29" s="6" customFormat="1" x14ac:dyDescent="0.25">
      <c r="A26" s="34">
        <v>16018</v>
      </c>
      <c r="B26" s="31" t="str" cm="1">
        <f t="array" ref="B26">INDEX(T_Info[],MATCH(T_HA[[#This Row],[Codigo]],T_Info[Codigo],0),COLUMN(T_Info[Proyecto]))</f>
        <v>Plaza Almeyda II</v>
      </c>
      <c r="C26" s="30" t="str" cm="1">
        <f t="array" ref="C26">INDEX(T_Info[],MATCH(T_HA[[#This Row],[Codigo]],T_Info[Codigo],0),COLUMN(T_Info[T.S]))</f>
        <v>C</v>
      </c>
      <c r="D26" s="34" cm="1">
        <f t="array" ref="D26">INDEX(T_Info[],MATCH(T_HA[[#This Row],[Codigo]],T_Info[Codigo],0),COLUMN(T_Info[Z.S]))</f>
        <v>2</v>
      </c>
      <c r="E26" s="34" cm="1">
        <f t="array" ref="E26">INDEX(T_Info[],MATCH(T_HA[[#This Row],[Codigo]],T_Info[Codigo],0),COLUMN(T_Info[Pisos]))</f>
        <v>5</v>
      </c>
      <c r="F26" s="34" cm="1">
        <f t="array" ref="F26">INDEX(T_Info[],MATCH(T_HA[[#This Row],[Codigo]],T_Info[Codigo],0),COLUMN(T_Info[Subt.]))</f>
        <v>3</v>
      </c>
      <c r="G26" s="35" cm="1">
        <f t="array" ref="G26">INDEX(T_Info[],MATCH(T_HA[[#This Row],[Codigo]],T_Info[Codigo],0),COLUMN(T_Info[Superficie m2]))</f>
        <v>10939</v>
      </c>
      <c r="H26" s="30" t="str" cm="1">
        <f t="array" ref="H26">IF(INDEX(T_Info[],MATCH(T_HA[[#This Row],[Codigo]],T_Info[Codigo],0),COLUMN(T_Info[Postensado]))&lt;&gt;"",INDEX(T_Info[],MATCH(T_HA[[#This Row],[Codigo]],T_Info[Codigo],0),COLUMN(T_Info[Postensado])),"")</f>
        <v/>
      </c>
      <c r="I26" s="30" t="str" cm="1">
        <f t="array" ref="I26">IF(INDEX(T_Info[],MATCH(T_HA[[#This Row],[Codigo]],T_Info[Codigo],0),COLUMN(T_Info[Losa Fundación]))&lt;&gt;"",INDEX(T_Info[],MATCH(T_HA[[#This Row],[Codigo]],T_Info[Codigo],0),COLUMN(T_Info[Losa Fundación])),"")</f>
        <v/>
      </c>
      <c r="J26" s="32">
        <v>319.43</v>
      </c>
      <c r="K26" s="32"/>
      <c r="L26" s="32">
        <v>1601.31</v>
      </c>
      <c r="M26" s="32" t="s">
        <v>207</v>
      </c>
      <c r="N26" s="32" t="s">
        <v>207</v>
      </c>
      <c r="O26" s="32">
        <v>208.86</v>
      </c>
      <c r="P26" s="32"/>
      <c r="Q26" s="32"/>
      <c r="R26" s="32">
        <v>1790.21</v>
      </c>
      <c r="S26" s="32">
        <v>19.62</v>
      </c>
      <c r="T26" s="32"/>
      <c r="U26" s="32">
        <v>2338.12</v>
      </c>
      <c r="V26" s="57">
        <f>IFERROR(T_HA[[#This Row],[Fund m3]]/T_HA[[#This Row],[Superficie m2]],)</f>
        <v>2.9201023859584972E-2</v>
      </c>
      <c r="W26" s="57">
        <f>IFERROR(T_HA[[#This Row],[Muros m3]]/T_HA[[#This Row],[Superficie m2]],)</f>
        <v>0.14638541000091415</v>
      </c>
      <c r="X26" s="57">
        <f>IFERROR(T_HA[[#This Row],[Muros Int m3]]/T_HA[[#This Row],[Superficie m2]],)</f>
        <v>0</v>
      </c>
      <c r="Y26" s="57">
        <f>IFERROR(T_HA[[#This Row],[Perimetrales m3]]/T_HA[[#This Row],[Superficie m2]],)</f>
        <v>0</v>
      </c>
      <c r="Z26" s="57">
        <f>IFERROR(T_HA[[#This Row],[Vigas m3]]/T_HA[[#This Row],[Superficie m2]],)</f>
        <v>1.9093152939025505E-2</v>
      </c>
      <c r="AA26" s="57">
        <f>IFERROR(T_HA[[#This Row],[Losas m3]]/T_HA[[#This Row],[Superficie m2]],)</f>
        <v>0.163653898893866</v>
      </c>
      <c r="AB26" s="57">
        <f>IFERROR(T_HA[[#This Row],[Total m3]]/T_HA[[#This Row],[Superficie m2]],)</f>
        <v>0.21374165828686351</v>
      </c>
    </row>
    <row r="27" spans="1:29" s="6" customFormat="1" x14ac:dyDescent="0.25">
      <c r="A27" s="34">
        <v>16046</v>
      </c>
      <c r="B27" s="31" t="str" cm="1">
        <f t="array" ref="B27">INDEX(T_Info[],MATCH(T_HA[[#This Row],[Codigo]],T_Info[Codigo],0),COLUMN(T_Info[Proyecto]))</f>
        <v>Blest Gana II</v>
      </c>
      <c r="C27" s="30" t="str" cm="1">
        <f t="array" ref="C27">INDEX(T_Info[],MATCH(T_HA[[#This Row],[Codigo]],T_Info[Codigo],0),COLUMN(T_Info[T.S]))</f>
        <v>D</v>
      </c>
      <c r="D27" s="34" cm="1">
        <f t="array" ref="D27">INDEX(T_Info[],MATCH(T_HA[[#This Row],[Codigo]],T_Info[Codigo],0),COLUMN(T_Info[Z.S]))</f>
        <v>2</v>
      </c>
      <c r="E27" s="34" cm="1">
        <f t="array" ref="E27">INDEX(T_Info[],MATCH(T_HA[[#This Row],[Codigo]],T_Info[Codigo],0),COLUMN(T_Info[Pisos]))</f>
        <v>11</v>
      </c>
      <c r="F27" s="34" cm="1">
        <f t="array" ref="F27">INDEX(T_Info[],MATCH(T_HA[[#This Row],[Codigo]],T_Info[Codigo],0),COLUMN(T_Info[Subt.]))</f>
        <v>2</v>
      </c>
      <c r="G27" s="35" cm="1">
        <f t="array" ref="G27">INDEX(T_Info[],MATCH(T_HA[[#This Row],[Codigo]],T_Info[Codigo],0),COLUMN(T_Info[Superficie m2]))</f>
        <v>16548</v>
      </c>
      <c r="H27" s="30" t="str" cm="1">
        <f t="array" ref="H27">IF(INDEX(T_Info[],MATCH(T_HA[[#This Row],[Codigo]],T_Info[Codigo],0),COLUMN(T_Info[Postensado]))&lt;&gt;"",INDEX(T_Info[],MATCH(T_HA[[#This Row],[Codigo]],T_Info[Codigo],0),COLUMN(T_Info[Postensado])),"")</f>
        <v/>
      </c>
      <c r="I27" s="30" t="str" cm="1">
        <f t="array" ref="I27">IF(INDEX(T_Info[],MATCH(T_HA[[#This Row],[Codigo]],T_Info[Codigo],0),COLUMN(T_Info[Losa Fundación]))&lt;&gt;"",INDEX(T_Info[],MATCH(T_HA[[#This Row],[Codigo]],T_Info[Codigo],0),COLUMN(T_Info[Losa Fundación])),"")</f>
        <v>Si</v>
      </c>
      <c r="J27" s="32">
        <v>1337.5</v>
      </c>
      <c r="K27" s="32"/>
      <c r="L27" s="32">
        <v>2610.92</v>
      </c>
      <c r="M27" s="32" t="s">
        <v>207</v>
      </c>
      <c r="N27" s="32" t="s">
        <v>207</v>
      </c>
      <c r="O27" s="32">
        <v>331.4</v>
      </c>
      <c r="P27" s="32"/>
      <c r="Q27" s="32"/>
      <c r="R27" s="32">
        <v>2562</v>
      </c>
      <c r="S27" s="32">
        <v>40.782769444444455</v>
      </c>
      <c r="T27" s="32"/>
      <c r="U27" s="32">
        <v>4271.6827694444437</v>
      </c>
      <c r="V27" s="57">
        <f>IFERROR(T_HA[[#This Row],[Fund m3]]/T_HA[[#This Row],[Superficie m2]],)</f>
        <v>8.0825477399081455E-2</v>
      </c>
      <c r="W27" s="57">
        <f>IFERROR(T_HA[[#This Row],[Muros m3]]/T_HA[[#This Row],[Superficie m2]],)</f>
        <v>0.15777858351462412</v>
      </c>
      <c r="X27" s="57">
        <f>IFERROR(T_HA[[#This Row],[Muros Int m3]]/T_HA[[#This Row],[Superficie m2]],)</f>
        <v>0</v>
      </c>
      <c r="Y27" s="57">
        <f>IFERROR(T_HA[[#This Row],[Perimetrales m3]]/T_HA[[#This Row],[Superficie m2]],)</f>
        <v>0</v>
      </c>
      <c r="Z27" s="57">
        <f>IFERROR(T_HA[[#This Row],[Vigas m3]]/T_HA[[#This Row],[Superficie m2]],)</f>
        <v>2.0026589315929415E-2</v>
      </c>
      <c r="AA27" s="57">
        <f>IFERROR(T_HA[[#This Row],[Losas m3]]/T_HA[[#This Row],[Superficie m2]],)</f>
        <v>0.1548223350253807</v>
      </c>
      <c r="AB27" s="57">
        <f>IFERROR(T_HA[[#This Row],[Total m3]]/T_HA[[#This Row],[Superficie m2]],)</f>
        <v>0.25813891524319821</v>
      </c>
    </row>
    <row r="28" spans="1:29" s="6" customFormat="1" x14ac:dyDescent="0.25">
      <c r="A28" s="34">
        <v>16061</v>
      </c>
      <c r="B28" s="31" t="str" cm="1">
        <f t="array" ref="B28">INDEX(T_Info[],MATCH(T_HA[[#This Row],[Codigo]],T_Info[Codigo],0),COLUMN(T_Info[Proyecto]))</f>
        <v>Sucre</v>
      </c>
      <c r="C28" s="30" t="str" cm="1">
        <f t="array" ref="C28">INDEX(T_Info[],MATCH(T_HA[[#This Row],[Codigo]],T_Info[Codigo],0),COLUMN(T_Info[T.S]))</f>
        <v>B</v>
      </c>
      <c r="D28" s="34" cm="1">
        <f t="array" ref="D28">INDEX(T_Info[],MATCH(T_HA[[#This Row],[Codigo]],T_Info[Codigo],0),COLUMN(T_Info[Z.S]))</f>
        <v>2</v>
      </c>
      <c r="E28" s="34" cm="1">
        <f t="array" ref="E28">INDEX(T_Info[],MATCH(T_HA[[#This Row],[Codigo]],T_Info[Codigo],0),COLUMN(T_Info[Pisos]))</f>
        <v>11</v>
      </c>
      <c r="F28" s="34" cm="1">
        <f t="array" ref="F28">INDEX(T_Info[],MATCH(T_HA[[#This Row],[Codigo]],T_Info[Codigo],0),COLUMN(T_Info[Subt.]))</f>
        <v>3</v>
      </c>
      <c r="G28" s="35" cm="1">
        <f t="array" ref="G28">INDEX(T_Info[],MATCH(T_HA[[#This Row],[Codigo]],T_Info[Codigo],0),COLUMN(T_Info[Superficie m2]))</f>
        <v>14208</v>
      </c>
      <c r="H28" s="30" t="str" cm="1">
        <f t="array" ref="H28">IF(INDEX(T_Info[],MATCH(T_HA[[#This Row],[Codigo]],T_Info[Codigo],0),COLUMN(T_Info[Postensado]))&lt;&gt;"",INDEX(T_Info[],MATCH(T_HA[[#This Row],[Codigo]],T_Info[Codigo],0),COLUMN(T_Info[Postensado])),"")</f>
        <v/>
      </c>
      <c r="I28" s="30" t="str" cm="1">
        <f t="array" ref="I28">IF(INDEX(T_Info[],MATCH(T_HA[[#This Row],[Codigo]],T_Info[Codigo],0),COLUMN(T_Info[Losa Fundación]))&lt;&gt;"",INDEX(T_Info[],MATCH(T_HA[[#This Row],[Codigo]],T_Info[Codigo],0),COLUMN(T_Info[Losa Fundación])),"")</f>
        <v/>
      </c>
      <c r="J28" s="32">
        <v>257.82</v>
      </c>
      <c r="K28" s="32"/>
      <c r="L28" s="32">
        <v>1843.4300000000005</v>
      </c>
      <c r="M28" s="32" t="s">
        <v>207</v>
      </c>
      <c r="N28" s="32" t="s">
        <v>207</v>
      </c>
      <c r="O28" s="32">
        <v>290.18</v>
      </c>
      <c r="P28" s="32"/>
      <c r="Q28" s="32"/>
      <c r="R28" s="32">
        <v>2234.8300000000008</v>
      </c>
      <c r="S28" s="32">
        <v>6.49</v>
      </c>
      <c r="T28" s="32"/>
      <c r="U28" s="32">
        <v>2789.3200000000006</v>
      </c>
      <c r="V28" s="57">
        <f>IFERROR(T_HA[[#This Row],[Fund m3]]/T_HA[[#This Row],[Superficie m2]],)</f>
        <v>1.8146114864864865E-2</v>
      </c>
      <c r="W28" s="57">
        <f>IFERROR(T_HA[[#This Row],[Muros m3]]/T_HA[[#This Row],[Superficie m2]],)</f>
        <v>0.12974591779279282</v>
      </c>
      <c r="X28" s="57">
        <f>IFERROR(T_HA[[#This Row],[Muros Int m3]]/T_HA[[#This Row],[Superficie m2]],)</f>
        <v>0</v>
      </c>
      <c r="Y28" s="57">
        <f>IFERROR(T_HA[[#This Row],[Perimetrales m3]]/T_HA[[#This Row],[Superficie m2]],)</f>
        <v>0</v>
      </c>
      <c r="Z28" s="57">
        <f>IFERROR(T_HA[[#This Row],[Vigas m3]]/T_HA[[#This Row],[Superficie m2]],)</f>
        <v>2.0423704954954956E-2</v>
      </c>
      <c r="AA28" s="57">
        <f>IFERROR(T_HA[[#This Row],[Losas m3]]/T_HA[[#This Row],[Superficie m2]],)</f>
        <v>0.15729377815315321</v>
      </c>
      <c r="AB28" s="57">
        <f>IFERROR(T_HA[[#This Row],[Total m3]]/T_HA[[#This Row],[Superficie m2]],)</f>
        <v>0.19632038288288292</v>
      </c>
    </row>
    <row r="29" spans="1:29" s="6" customFormat="1" x14ac:dyDescent="0.25">
      <c r="A29" s="34">
        <v>16089</v>
      </c>
      <c r="B29" s="31" t="str" cm="1">
        <f t="array" ref="B29">INDEX(T_Info[],MATCH(T_HA[[#This Row],[Codigo]],T_Info[Codigo],0),COLUMN(T_Info[Proyecto]))</f>
        <v>Nibelungos</v>
      </c>
      <c r="C29" s="30" t="str" cm="1">
        <f t="array" ref="C29">INDEX(T_Info[],MATCH(T_HA[[#This Row],[Codigo]],T_Info[Codigo],0),COLUMN(T_Info[T.S]))</f>
        <v>B</v>
      </c>
      <c r="D29" s="34" cm="1">
        <f t="array" ref="D29">INDEX(T_Info[],MATCH(T_HA[[#This Row],[Codigo]],T_Info[Codigo],0),COLUMN(T_Info[Z.S]))</f>
        <v>2</v>
      </c>
      <c r="E29" s="34" cm="1">
        <f t="array" ref="E29">INDEX(T_Info[],MATCH(T_HA[[#This Row],[Codigo]],T_Info[Codigo],0),COLUMN(T_Info[Pisos]))</f>
        <v>8</v>
      </c>
      <c r="F29" s="34" cm="1">
        <f t="array" ref="F29">INDEX(T_Info[],MATCH(T_HA[[#This Row],[Codigo]],T_Info[Codigo],0),COLUMN(T_Info[Subt.]))</f>
        <v>2</v>
      </c>
      <c r="G29" s="35" cm="1">
        <f t="array" ref="G29">INDEX(T_Info[],MATCH(T_HA[[#This Row],[Codigo]],T_Info[Codigo],0),COLUMN(T_Info[Superficie m2]))</f>
        <v>16183.37</v>
      </c>
      <c r="H29" s="30" t="str" cm="1">
        <f t="array" ref="H29">IF(INDEX(T_Info[],MATCH(T_HA[[#This Row],[Codigo]],T_Info[Codigo],0),COLUMN(T_Info[Postensado]))&lt;&gt;"",INDEX(T_Info[],MATCH(T_HA[[#This Row],[Codigo]],T_Info[Codigo],0),COLUMN(T_Info[Postensado])),"")</f>
        <v/>
      </c>
      <c r="I29" s="30" t="str" cm="1">
        <f t="array" ref="I29">IF(INDEX(T_Info[],MATCH(T_HA[[#This Row],[Codigo]],T_Info[Codigo],0),COLUMN(T_Info[Losa Fundación]))&lt;&gt;"",INDEX(T_Info[],MATCH(T_HA[[#This Row],[Codigo]],T_Info[Codigo],0),COLUMN(T_Info[Losa Fundación])),"")</f>
        <v/>
      </c>
      <c r="J29" s="32">
        <v>379.17</v>
      </c>
      <c r="K29" s="32"/>
      <c r="L29" s="32">
        <v>1829.2700000000002</v>
      </c>
      <c r="M29" s="32" t="s">
        <v>207</v>
      </c>
      <c r="N29" s="32" t="s">
        <v>207</v>
      </c>
      <c r="O29" s="32">
        <v>404.28000000000003</v>
      </c>
      <c r="P29" s="32"/>
      <c r="Q29" s="32"/>
      <c r="R29" s="32">
        <v>2437.9700000000003</v>
      </c>
      <c r="S29" s="32">
        <v>15.810000000000002</v>
      </c>
      <c r="T29" s="32"/>
      <c r="U29" s="32">
        <v>3237.23</v>
      </c>
      <c r="V29" s="57">
        <f>IFERROR(T_HA[[#This Row],[Fund m3]]/T_HA[[#This Row],[Superficie m2]],)</f>
        <v>2.3429607059592655E-2</v>
      </c>
      <c r="W29" s="57">
        <f>IFERROR(T_HA[[#This Row],[Muros m3]]/T_HA[[#This Row],[Superficie m2]],)</f>
        <v>0.11303393545349331</v>
      </c>
      <c r="X29" s="57">
        <f>IFERROR(T_HA[[#This Row],[Muros Int m3]]/T_HA[[#This Row],[Superficie m2]],)</f>
        <v>0</v>
      </c>
      <c r="Y29" s="57">
        <f>IFERROR(T_HA[[#This Row],[Perimetrales m3]]/T_HA[[#This Row],[Superficie m2]],)</f>
        <v>0</v>
      </c>
      <c r="Z29" s="57">
        <f>IFERROR(T_HA[[#This Row],[Vigas m3]]/T_HA[[#This Row],[Superficie m2]],)</f>
        <v>2.4981199836622409E-2</v>
      </c>
      <c r="AA29" s="57">
        <f>IFERROR(T_HA[[#This Row],[Losas m3]]/T_HA[[#This Row],[Superficie m2]],)</f>
        <v>0.15064662057408315</v>
      </c>
      <c r="AB29" s="57">
        <f>IFERROR(T_HA[[#This Row],[Total m3]]/T_HA[[#This Row],[Superficie m2]],)</f>
        <v>0.20003435625583546</v>
      </c>
    </row>
    <row r="30" spans="1:29" s="6" customFormat="1" x14ac:dyDescent="0.25">
      <c r="A30" s="34">
        <v>17031</v>
      </c>
      <c r="B30" s="31" t="str" cm="1">
        <f t="array" ref="B30">INDEX(T_Info[],MATCH(T_HA[[#This Row],[Codigo]],T_Info[Codigo],0),COLUMN(T_Info[Proyecto]))</f>
        <v>Hannover</v>
      </c>
      <c r="C30" s="30" t="str" cm="1">
        <f t="array" ref="C30">INDEX(T_Info[],MATCH(T_HA[[#This Row],[Codigo]],T_Info[Codigo],0),COLUMN(T_Info[T.S]))</f>
        <v>D</v>
      </c>
      <c r="D30" s="34" cm="1">
        <f t="array" ref="D30">INDEX(T_Info[],MATCH(T_HA[[#This Row],[Codigo]],T_Info[Codigo],0),COLUMN(T_Info[Z.S]))</f>
        <v>2</v>
      </c>
      <c r="E30" s="34" cm="1">
        <f t="array" ref="E30">INDEX(T_Info[],MATCH(T_HA[[#This Row],[Codigo]],T_Info[Codigo],0),COLUMN(T_Info[Pisos]))</f>
        <v>7</v>
      </c>
      <c r="F30" s="34" cm="1">
        <f t="array" ref="F30">INDEX(T_Info[],MATCH(T_HA[[#This Row],[Codigo]],T_Info[Codigo],0),COLUMN(T_Info[Subt.]))</f>
        <v>2</v>
      </c>
      <c r="G30" s="35" cm="1">
        <f t="array" ref="G30">INDEX(T_Info[],MATCH(T_HA[[#This Row],[Codigo]],T_Info[Codigo],0),COLUMN(T_Info[Superficie m2]))</f>
        <v>18825.400000000001</v>
      </c>
      <c r="H30" s="30" t="str" cm="1">
        <f t="array" ref="H30">IF(INDEX(T_Info[],MATCH(T_HA[[#This Row],[Codigo]],T_Info[Codigo],0),COLUMN(T_Info[Postensado]))&lt;&gt;"",INDEX(T_Info[],MATCH(T_HA[[#This Row],[Codigo]],T_Info[Codigo],0),COLUMN(T_Info[Postensado])),"")</f>
        <v/>
      </c>
      <c r="I30" s="30" t="str" cm="1">
        <f t="array" ref="I30">IF(INDEX(T_Info[],MATCH(T_HA[[#This Row],[Codigo]],T_Info[Codigo],0),COLUMN(T_Info[Losa Fundación]))&lt;&gt;"",INDEX(T_Info[],MATCH(T_HA[[#This Row],[Codigo]],T_Info[Codigo],0),COLUMN(T_Info[Losa Fundación])),"")</f>
        <v/>
      </c>
      <c r="J30" s="32">
        <v>535.62</v>
      </c>
      <c r="K30" s="32"/>
      <c r="L30" s="32">
        <v>2518.15</v>
      </c>
      <c r="M30" s="32" t="s">
        <v>207</v>
      </c>
      <c r="N30" s="32" t="s">
        <v>207</v>
      </c>
      <c r="O30" s="32">
        <v>396.39</v>
      </c>
      <c r="P30" s="32"/>
      <c r="Q30" s="32"/>
      <c r="R30" s="32">
        <v>2846.2300000000005</v>
      </c>
      <c r="S30" s="32">
        <v>19.169999999999998</v>
      </c>
      <c r="T30" s="32"/>
      <c r="U30" s="32">
        <v>3797.4100000000008</v>
      </c>
      <c r="V30" s="57">
        <f>IFERROR(T_HA[[#This Row],[Fund m3]]/T_HA[[#This Row],[Superficie m2]],)</f>
        <v>2.8451985083982279E-2</v>
      </c>
      <c r="W30" s="57">
        <f>IFERROR(T_HA[[#This Row],[Muros m3]]/T_HA[[#This Row],[Superficie m2]],)</f>
        <v>0.1337634260095403</v>
      </c>
      <c r="X30" s="57">
        <f>IFERROR(T_HA[[#This Row],[Muros Int m3]]/T_HA[[#This Row],[Superficie m2]],)</f>
        <v>0</v>
      </c>
      <c r="Y30" s="57">
        <f>IFERROR(T_HA[[#This Row],[Perimetrales m3]]/T_HA[[#This Row],[Superficie m2]],)</f>
        <v>0</v>
      </c>
      <c r="Z30" s="57">
        <f>IFERROR(T_HA[[#This Row],[Vigas m3]]/T_HA[[#This Row],[Superficie m2]],)</f>
        <v>2.1056126297449188E-2</v>
      </c>
      <c r="AA30" s="57">
        <f>IFERROR(T_HA[[#This Row],[Losas m3]]/T_HA[[#This Row],[Superficie m2]],)</f>
        <v>0.15119094414992512</v>
      </c>
      <c r="AB30" s="57">
        <f>IFERROR(T_HA[[#This Row],[Total m3]]/T_HA[[#This Row],[Superficie m2]],)</f>
        <v>0.20171736058729167</v>
      </c>
    </row>
    <row r="31" spans="1:29" s="6" customFormat="1" x14ac:dyDescent="0.25">
      <c r="A31" s="34">
        <v>17050</v>
      </c>
      <c r="B31" s="31" t="str" cm="1">
        <f t="array" ref="B31">INDEX(T_Info[],MATCH(T_HA[[#This Row],[Codigo]],T_Info[Codigo],0),COLUMN(T_Info[Proyecto]))</f>
        <v>Irarrázaval</v>
      </c>
      <c r="C31" s="30" t="str" cm="1">
        <f t="array" ref="C31">INDEX(T_Info[],MATCH(T_HA[[#This Row],[Codigo]],T_Info[Codigo],0),COLUMN(T_Info[T.S]))</f>
        <v>B</v>
      </c>
      <c r="D31" s="34" cm="1">
        <f t="array" ref="D31">INDEX(T_Info[],MATCH(T_HA[[#This Row],[Codigo]],T_Info[Codigo],0),COLUMN(T_Info[Z.S]))</f>
        <v>2</v>
      </c>
      <c r="E31" s="34" cm="1">
        <f t="array" ref="E31">INDEX(T_Info[],MATCH(T_HA[[#This Row],[Codigo]],T_Info[Codigo],0),COLUMN(T_Info[Pisos]))</f>
        <v>24</v>
      </c>
      <c r="F31" s="34" cm="1">
        <f t="array" ref="F31">INDEX(T_Info[],MATCH(T_HA[[#This Row],[Codigo]],T_Info[Codigo],0),COLUMN(T_Info[Subt.]))</f>
        <v>4</v>
      </c>
      <c r="G31" s="35" cm="1">
        <f t="array" ref="G31">INDEX(T_Info[],MATCH(T_HA[[#This Row],[Codigo]],T_Info[Codigo],0),COLUMN(T_Info[Superficie m2]))</f>
        <v>23523</v>
      </c>
      <c r="H31" s="30" t="str" cm="1">
        <f t="array" ref="H31">IF(INDEX(T_Info[],MATCH(T_HA[[#This Row],[Codigo]],T_Info[Codigo],0),COLUMN(T_Info[Postensado]))&lt;&gt;"",INDEX(T_Info[],MATCH(T_HA[[#This Row],[Codigo]],T_Info[Codigo],0),COLUMN(T_Info[Postensado])),"")</f>
        <v/>
      </c>
      <c r="I31" s="30" t="str" cm="1">
        <f t="array" ref="I31">IF(INDEX(T_Info[],MATCH(T_HA[[#This Row],[Codigo]],T_Info[Codigo],0),COLUMN(T_Info[Losa Fundación]))&lt;&gt;"",INDEX(T_Info[],MATCH(T_HA[[#This Row],[Codigo]],T_Info[Codigo],0),COLUMN(T_Info[Losa Fundación])),"")</f>
        <v/>
      </c>
      <c r="J31" s="32">
        <v>388.16</v>
      </c>
      <c r="K31" s="32"/>
      <c r="L31" s="32">
        <v>3220.2200000000003</v>
      </c>
      <c r="M31" s="32" t="s">
        <v>207</v>
      </c>
      <c r="N31" s="32" t="s">
        <v>207</v>
      </c>
      <c r="O31" s="32">
        <v>407.60999999999996</v>
      </c>
      <c r="P31" s="32"/>
      <c r="Q31" s="32"/>
      <c r="R31" s="32">
        <v>3612.3299999999995</v>
      </c>
      <c r="S31" s="32">
        <v>12.41</v>
      </c>
      <c r="T31" s="32"/>
      <c r="U31" s="32">
        <v>4420.5099999999993</v>
      </c>
      <c r="V31" s="57">
        <f>IFERROR(T_HA[[#This Row],[Fund m3]]/T_HA[[#This Row],[Superficie m2]],)</f>
        <v>1.6501296603324406E-2</v>
      </c>
      <c r="W31" s="57">
        <f>IFERROR(T_HA[[#This Row],[Muros m3]]/T_HA[[#This Row],[Superficie m2]],)</f>
        <v>0.13689665433830719</v>
      </c>
      <c r="X31" s="57">
        <f>IFERROR(T_HA[[#This Row],[Muros Int m3]]/T_HA[[#This Row],[Superficie m2]],)</f>
        <v>0</v>
      </c>
      <c r="Y31" s="57">
        <f>IFERROR(T_HA[[#This Row],[Perimetrales m3]]/T_HA[[#This Row],[Superficie m2]],)</f>
        <v>0</v>
      </c>
      <c r="Z31" s="57">
        <f>IFERROR(T_HA[[#This Row],[Vigas m3]]/T_HA[[#This Row],[Superficie m2]],)</f>
        <v>1.7328146920035706E-2</v>
      </c>
      <c r="AA31" s="57">
        <f>IFERROR(T_HA[[#This Row],[Losas m3]]/T_HA[[#This Row],[Superficie m2]],)</f>
        <v>0.15356587170003824</v>
      </c>
      <c r="AB31" s="57">
        <f>IFERROR(T_HA[[#This Row],[Total m3]]/T_HA[[#This Row],[Superficie m2]],)</f>
        <v>0.18792288398588614</v>
      </c>
      <c r="AC31" s="6" t="s">
        <v>45</v>
      </c>
    </row>
    <row r="32" spans="1:29" s="6" customFormat="1" x14ac:dyDescent="0.25">
      <c r="A32" s="34">
        <v>17080</v>
      </c>
      <c r="B32" s="31" t="str" cm="1">
        <f t="array" ref="B32">INDEX(T_Info[],MATCH(T_HA[[#This Row],[Codigo]],T_Info[Codigo],0),COLUMN(T_Info[Proyecto]))</f>
        <v>Rosas</v>
      </c>
      <c r="C32" s="30" t="str" cm="1">
        <f t="array" ref="C32">INDEX(T_Info[],MATCH(T_HA[[#This Row],[Codigo]],T_Info[Codigo],0),COLUMN(T_Info[T.S]))</f>
        <v>B</v>
      </c>
      <c r="D32" s="34" cm="1">
        <f t="array" ref="D32">INDEX(T_Info[],MATCH(T_HA[[#This Row],[Codigo]],T_Info[Codigo],0),COLUMN(T_Info[Z.S]))</f>
        <v>2</v>
      </c>
      <c r="E32" s="34" cm="1">
        <f t="array" ref="E32">INDEX(T_Info[],MATCH(T_HA[[#This Row],[Codigo]],T_Info[Codigo],0),COLUMN(T_Info[Pisos]))</f>
        <v>10</v>
      </c>
      <c r="F32" s="34" cm="1">
        <f t="array" ref="F32">INDEX(T_Info[],MATCH(T_HA[[#This Row],[Codigo]],T_Info[Codigo],0),COLUMN(T_Info[Subt.]))</f>
        <v>2</v>
      </c>
      <c r="G32" s="35" cm="1">
        <f t="array" ref="G32">INDEX(T_Info[],MATCH(T_HA[[#This Row],[Codigo]],T_Info[Codigo],0),COLUMN(T_Info[Superficie m2]))</f>
        <v>20806.43</v>
      </c>
      <c r="H32" s="30" t="str" cm="1">
        <f t="array" ref="H32">IF(INDEX(T_Info[],MATCH(T_HA[[#This Row],[Codigo]],T_Info[Codigo],0),COLUMN(T_Info[Postensado]))&lt;&gt;"",INDEX(T_Info[],MATCH(T_HA[[#This Row],[Codigo]],T_Info[Codigo],0),COLUMN(T_Info[Postensado])),"")</f>
        <v/>
      </c>
      <c r="I32" s="30" t="str" cm="1">
        <f t="array" ref="I32">IF(INDEX(T_Info[],MATCH(T_HA[[#This Row],[Codigo]],T_Info[Codigo],0),COLUMN(T_Info[Losa Fundación]))&lt;&gt;"",INDEX(T_Info[],MATCH(T_HA[[#This Row],[Codigo]],T_Info[Codigo],0),COLUMN(T_Info[Losa Fundación])),"")</f>
        <v/>
      </c>
      <c r="J32" s="32">
        <v>275.7</v>
      </c>
      <c r="K32" s="32"/>
      <c r="L32" s="32">
        <v>3308.1</v>
      </c>
      <c r="M32" s="32">
        <v>2904.8</v>
      </c>
      <c r="N32" s="32">
        <v>403.3</v>
      </c>
      <c r="O32" s="32">
        <v>304</v>
      </c>
      <c r="P32" s="32"/>
      <c r="Q32" s="32"/>
      <c r="R32" s="32">
        <v>3173.8</v>
      </c>
      <c r="S32" s="32">
        <v>43.7</v>
      </c>
      <c r="T32" s="32"/>
      <c r="U32" s="32">
        <v>7105.3</v>
      </c>
      <c r="V32" s="57">
        <f>IFERROR(T_HA[[#This Row],[Fund m3]]/T_HA[[#This Row],[Superficie m2]],)</f>
        <v>1.3250711438723509E-2</v>
      </c>
      <c r="W32" s="57">
        <f>IFERROR(T_HA[[#This Row],[Muros m3]]/T_HA[[#This Row],[Superficie m2]],)</f>
        <v>0.15899411864505347</v>
      </c>
      <c r="X32" s="57">
        <f>IFERROR(T_HA[[#This Row],[Muros Int m3]]/T_HA[[#This Row],[Superficie m2]],)</f>
        <v>0.13961068765761353</v>
      </c>
      <c r="Y32" s="57">
        <f>IFERROR(T_HA[[#This Row],[Perimetrales m3]]/T_HA[[#This Row],[Superficie m2]],)</f>
        <v>1.9383430987439942E-2</v>
      </c>
      <c r="Z32" s="57">
        <f>IFERROR(T_HA[[#This Row],[Vigas m3]]/T_HA[[#This Row],[Superficie m2]],)</f>
        <v>1.4610867890358894E-2</v>
      </c>
      <c r="AA32" s="57">
        <f>IFERROR(T_HA[[#This Row],[Losas m3]]/T_HA[[#This Row],[Superficie m2]],)</f>
        <v>0.15253938325796401</v>
      </c>
      <c r="AB32" s="57">
        <f>IFERROR(T_HA[[#This Row],[Total m3]]/T_HA[[#This Row],[Superficie m2]],)</f>
        <v>0.34149539349133901</v>
      </c>
    </row>
    <row r="33" spans="1:29" s="6" customFormat="1" x14ac:dyDescent="0.25">
      <c r="A33" s="34">
        <v>17098</v>
      </c>
      <c r="B33" s="31" t="str" cm="1">
        <f t="array" ref="B33">INDEX(T_Info[],MATCH(T_HA[[#This Row],[Codigo]],T_Info[Codigo],0),COLUMN(T_Info[Proyecto]))</f>
        <v>Mujica T3</v>
      </c>
      <c r="C33" s="30" t="str" cm="1">
        <f t="array" ref="C33">INDEX(T_Info[],MATCH(T_HA[[#This Row],[Codigo]],T_Info[Codigo],0),COLUMN(T_Info[T.S]))</f>
        <v>B</v>
      </c>
      <c r="D33" s="34" cm="1">
        <f t="array" ref="D33">INDEX(T_Info[],MATCH(T_HA[[#This Row],[Codigo]],T_Info[Codigo],0),COLUMN(T_Info[Z.S]))</f>
        <v>2</v>
      </c>
      <c r="E33" s="34" cm="1">
        <f t="array" ref="E33">INDEX(T_Info[],MATCH(T_HA[[#This Row],[Codigo]],T_Info[Codigo],0),COLUMN(T_Info[Pisos]))</f>
        <v>12</v>
      </c>
      <c r="F33" s="34" cm="1">
        <f t="array" ref="F33">INDEX(T_Info[],MATCH(T_HA[[#This Row],[Codigo]],T_Info[Codigo],0),COLUMN(T_Info[Subt.]))</f>
        <v>2</v>
      </c>
      <c r="G33" s="35" cm="1">
        <f t="array" ref="G33">INDEX(T_Info[],MATCH(T_HA[[#This Row],[Codigo]],T_Info[Codigo],0),COLUMN(T_Info[Superficie m2]))</f>
        <v>8300.99</v>
      </c>
      <c r="H33" s="30" t="str" cm="1">
        <f t="array" ref="H33">IF(INDEX(T_Info[],MATCH(T_HA[[#This Row],[Codigo]],T_Info[Codigo],0),COLUMN(T_Info[Postensado]))&lt;&gt;"",INDEX(T_Info[],MATCH(T_HA[[#This Row],[Codigo]],T_Info[Codigo],0),COLUMN(T_Info[Postensado])),"")</f>
        <v/>
      </c>
      <c r="I33" s="30" t="str" cm="1">
        <f t="array" ref="I33">IF(INDEX(T_Info[],MATCH(T_HA[[#This Row],[Codigo]],T_Info[Codigo],0),COLUMN(T_Info[Losa Fundación]))&lt;&gt;"",INDEX(T_Info[],MATCH(T_HA[[#This Row],[Codigo]],T_Info[Codigo],0),COLUMN(T_Info[Losa Fundación])),"")</f>
        <v/>
      </c>
      <c r="J33" s="33">
        <v>149.88999999999999</v>
      </c>
      <c r="K33" s="33"/>
      <c r="L33" s="32">
        <v>1337.28</v>
      </c>
      <c r="M33" s="32" t="s">
        <v>207</v>
      </c>
      <c r="N33" s="32" t="s">
        <v>207</v>
      </c>
      <c r="O33" s="32">
        <v>210.85</v>
      </c>
      <c r="P33" s="32"/>
      <c r="Q33" s="32"/>
      <c r="R33" s="32">
        <v>1273.1699999999998</v>
      </c>
      <c r="S33" s="32">
        <v>28.649999999999991</v>
      </c>
      <c r="T33" s="32"/>
      <c r="U33" s="32">
        <v>1662.56</v>
      </c>
      <c r="V33" s="57">
        <f>IFERROR(T_HA[[#This Row],[Fund m3]]/T_HA[[#This Row],[Superficie m2]],)</f>
        <v>1.805688237186167E-2</v>
      </c>
      <c r="W33" s="57">
        <f>IFERROR(T_HA[[#This Row],[Muros m3]]/T_HA[[#This Row],[Superficie m2]],)</f>
        <v>0.16109885688333561</v>
      </c>
      <c r="X33" s="57">
        <f>IFERROR(T_HA[[#This Row],[Muros Int m3]]/T_HA[[#This Row],[Superficie m2]],)</f>
        <v>0</v>
      </c>
      <c r="Y33" s="57">
        <f>IFERROR(T_HA[[#This Row],[Perimetrales m3]]/T_HA[[#This Row],[Superficie m2]],)</f>
        <v>0</v>
      </c>
      <c r="Z33" s="57">
        <f>IFERROR(T_HA[[#This Row],[Vigas m3]]/T_HA[[#This Row],[Superficie m2]],)</f>
        <v>2.5400584749529876E-2</v>
      </c>
      <c r="AA33" s="57">
        <f>IFERROR(T_HA[[#This Row],[Losas m3]]/T_HA[[#This Row],[Superficie m2]],)</f>
        <v>0.15337568169579771</v>
      </c>
      <c r="AB33" s="57">
        <f>IFERROR(T_HA[[#This Row],[Total m3]]/T_HA[[#This Row],[Superficie m2]],)</f>
        <v>0.20028454437362289</v>
      </c>
    </row>
    <row r="34" spans="1:29" s="6" customFormat="1" x14ac:dyDescent="0.25">
      <c r="A34" s="34">
        <v>17100</v>
      </c>
      <c r="B34" s="31" t="str" cm="1">
        <f t="array" ref="B34">INDEX(T_Info[],MATCH(T_HA[[#This Row],[Codigo]],T_Info[Codigo],0),COLUMN(T_Info[Proyecto]))</f>
        <v>Colón</v>
      </c>
      <c r="C34" s="30" t="str" cm="1">
        <f t="array" ref="C34">INDEX(T_Info[],MATCH(T_HA[[#This Row],[Codigo]],T_Info[Codigo],0),COLUMN(T_Info[T.S]))</f>
        <v>B</v>
      </c>
      <c r="D34" s="34" cm="1">
        <f t="array" ref="D34">INDEX(T_Info[],MATCH(T_HA[[#This Row],[Codigo]],T_Info[Codigo],0),COLUMN(T_Info[Z.S]))</f>
        <v>2</v>
      </c>
      <c r="E34" s="34" cm="1">
        <f t="array" ref="E34">INDEX(T_Info[],MATCH(T_HA[[#This Row],[Codigo]],T_Info[Codigo],0),COLUMN(T_Info[Pisos]))</f>
        <v>16</v>
      </c>
      <c r="F34" s="34" cm="1">
        <f t="array" ref="F34">INDEX(T_Info[],MATCH(T_HA[[#This Row],[Codigo]],T_Info[Codigo],0),COLUMN(T_Info[Subt.]))</f>
        <v>2</v>
      </c>
      <c r="G34" s="35" cm="1">
        <f t="array" ref="G34">INDEX(T_Info[],MATCH(T_HA[[#This Row],[Codigo]],T_Info[Codigo],0),COLUMN(T_Info[Superficie m2]))</f>
        <v>16551.04</v>
      </c>
      <c r="H34" s="30" t="str" cm="1">
        <f t="array" ref="H34">IF(INDEX(T_Info[],MATCH(T_HA[[#This Row],[Codigo]],T_Info[Codigo],0),COLUMN(T_Info[Postensado]))&lt;&gt;"",INDEX(T_Info[],MATCH(T_HA[[#This Row],[Codigo]],T_Info[Codigo],0),COLUMN(T_Info[Postensado])),"")</f>
        <v/>
      </c>
      <c r="I34" s="30" t="str" cm="1">
        <f t="array" ref="I34">IF(INDEX(T_Info[],MATCH(T_HA[[#This Row],[Codigo]],T_Info[Codigo],0),COLUMN(T_Info[Losa Fundación]))&lt;&gt;"",INDEX(T_Info[],MATCH(T_HA[[#This Row],[Codigo]],T_Info[Codigo],0),COLUMN(T_Info[Losa Fundación])),"")</f>
        <v/>
      </c>
      <c r="J34" s="32">
        <v>452.8</v>
      </c>
      <c r="K34" s="32"/>
      <c r="L34" s="32">
        <v>2214.7800000000002</v>
      </c>
      <c r="M34" s="32">
        <v>1919.9</v>
      </c>
      <c r="N34" s="32">
        <v>294.89999999999998</v>
      </c>
      <c r="O34" s="32">
        <v>323.89999999999998</v>
      </c>
      <c r="P34" s="32"/>
      <c r="Q34" s="32"/>
      <c r="R34" s="32">
        <v>2547.1</v>
      </c>
      <c r="S34" s="32">
        <v>47.7</v>
      </c>
      <c r="T34" s="32"/>
      <c r="U34" s="32">
        <v>5586.3</v>
      </c>
      <c r="V34" s="57">
        <f>IFERROR(T_HA[[#This Row],[Fund m3]]/T_HA[[#This Row],[Superficie m2]],)</f>
        <v>2.7357797455628167E-2</v>
      </c>
      <c r="W34" s="57">
        <f>IFERROR(T_HA[[#This Row],[Muros m3]]/T_HA[[#This Row],[Superficie m2]],)</f>
        <v>0.13381515602644911</v>
      </c>
      <c r="X34" s="57">
        <f>IFERROR(T_HA[[#This Row],[Muros Int m3]]/T_HA[[#This Row],[Superficie m2]],)</f>
        <v>0.1159987529484552</v>
      </c>
      <c r="Y34" s="57">
        <f>IFERROR(T_HA[[#This Row],[Perimetrales m3]]/T_HA[[#This Row],[Superficie m2]],)</f>
        <v>1.7817611461273732E-2</v>
      </c>
      <c r="Z34" s="57">
        <f>IFERROR(T_HA[[#This Row],[Vigas m3]]/T_HA[[#This Row],[Superficie m2]],)</f>
        <v>1.9569767217044967E-2</v>
      </c>
      <c r="AA34" s="57">
        <f>IFERROR(T_HA[[#This Row],[Losas m3]]/T_HA[[#This Row],[Superficie m2]],)</f>
        <v>0.15389365260430762</v>
      </c>
      <c r="AB34" s="57">
        <f>IFERROR(T_HA[[#This Row],[Total m3]]/T_HA[[#This Row],[Superficie m2]],)</f>
        <v>0.33751957580913344</v>
      </c>
    </row>
    <row r="35" spans="1:29" s="6" customFormat="1" x14ac:dyDescent="0.25">
      <c r="A35" s="34">
        <v>17106</v>
      </c>
      <c r="B35" s="31" t="str" cm="1">
        <f t="array" ref="B35">INDEX(T_Info[],MATCH(T_HA[[#This Row],[Codigo]],T_Info[Codigo],0),COLUMN(T_Info[Proyecto]))</f>
        <v>Diag. Oriente</v>
      </c>
      <c r="C35" s="30" t="str" cm="1">
        <f t="array" ref="C35">INDEX(T_Info[],MATCH(T_HA[[#This Row],[Codigo]],T_Info[Codigo],0),COLUMN(T_Info[T.S]))</f>
        <v>B</v>
      </c>
      <c r="D35" s="34" cm="1">
        <f t="array" ref="D35">INDEX(T_Info[],MATCH(T_HA[[#This Row],[Codigo]],T_Info[Codigo],0),COLUMN(T_Info[Z.S]))</f>
        <v>2</v>
      </c>
      <c r="E35" s="34" cm="1">
        <f t="array" ref="E35">INDEX(T_Info[],MATCH(T_HA[[#This Row],[Codigo]],T_Info[Codigo],0),COLUMN(T_Info[Pisos]))</f>
        <v>13</v>
      </c>
      <c r="F35" s="34" cm="1">
        <f t="array" ref="F35">INDEX(T_Info[],MATCH(T_HA[[#This Row],[Codigo]],T_Info[Codigo],0),COLUMN(T_Info[Subt.]))</f>
        <v>2</v>
      </c>
      <c r="G35" s="35" cm="1">
        <f t="array" ref="G35">INDEX(T_Info[],MATCH(T_HA[[#This Row],[Codigo]],T_Info[Codigo],0),COLUMN(T_Info[Superficie m2]))</f>
        <v>21028.959999999999</v>
      </c>
      <c r="H35" s="30" t="str" cm="1">
        <f t="array" ref="H35">IF(INDEX(T_Info[],MATCH(T_HA[[#This Row],[Codigo]],T_Info[Codigo],0),COLUMN(T_Info[Postensado]))&lt;&gt;"",INDEX(T_Info[],MATCH(T_HA[[#This Row],[Codigo]],T_Info[Codigo],0),COLUMN(T_Info[Postensado])),"")</f>
        <v/>
      </c>
      <c r="I35" s="30" t="str" cm="1">
        <f t="array" ref="I35">IF(INDEX(T_Info[],MATCH(T_HA[[#This Row],[Codigo]],T_Info[Codigo],0),COLUMN(T_Info[Losa Fundación]))&lt;&gt;"",INDEX(T_Info[],MATCH(T_HA[[#This Row],[Codigo]],T_Info[Codigo],0),COLUMN(T_Info[Losa Fundación])),"")</f>
        <v/>
      </c>
      <c r="J35" s="32">
        <v>439.26</v>
      </c>
      <c r="K35" s="32"/>
      <c r="L35" s="32">
        <v>2492.25</v>
      </c>
      <c r="M35" s="32" t="s">
        <v>207</v>
      </c>
      <c r="N35" s="32" t="s">
        <v>207</v>
      </c>
      <c r="O35" s="32">
        <v>296.57</v>
      </c>
      <c r="P35" s="32"/>
      <c r="Q35" s="32"/>
      <c r="R35" s="32">
        <v>2879.4199999999996</v>
      </c>
      <c r="S35" s="32">
        <v>7.42</v>
      </c>
      <c r="T35" s="32"/>
      <c r="U35" s="32">
        <v>3622.6699999999996</v>
      </c>
      <c r="V35" s="57">
        <f>IFERROR(T_HA[[#This Row],[Fund m3]]/T_HA[[#This Row],[Superficie m2]],)</f>
        <v>2.0888336845949585E-2</v>
      </c>
      <c r="W35" s="57">
        <f>IFERROR(T_HA[[#This Row],[Muros m3]]/T_HA[[#This Row],[Superficie m2]],)</f>
        <v>0.11851513341601297</v>
      </c>
      <c r="X35" s="57">
        <f>IFERROR(T_HA[[#This Row],[Muros Int m3]]/T_HA[[#This Row],[Superficie m2]],)</f>
        <v>0</v>
      </c>
      <c r="Y35" s="57">
        <f>IFERROR(T_HA[[#This Row],[Perimetrales m3]]/T_HA[[#This Row],[Superficie m2]],)</f>
        <v>0</v>
      </c>
      <c r="Z35" s="57">
        <f>IFERROR(T_HA[[#This Row],[Vigas m3]]/T_HA[[#This Row],[Superficie m2]],)</f>
        <v>1.4102932337119858E-2</v>
      </c>
      <c r="AA35" s="57">
        <f>IFERROR(T_HA[[#This Row],[Losas m3]]/T_HA[[#This Row],[Superficie m2]],)</f>
        <v>0.13692641005546635</v>
      </c>
      <c r="AB35" s="57">
        <f>IFERROR(T_HA[[#This Row],[Total m3]]/T_HA[[#This Row],[Superficie m2]],)</f>
        <v>0.17227052597941123</v>
      </c>
      <c r="AC35" s="6" t="s">
        <v>45</v>
      </c>
    </row>
    <row r="36" spans="1:29" s="6" customFormat="1" x14ac:dyDescent="0.25">
      <c r="A36" s="34">
        <v>17502</v>
      </c>
      <c r="B36" s="31" t="e" cm="1">
        <f t="array" ref="B36">INDEX(T_Info[],MATCH(T_HA[[#This Row],[Codigo]],T_Info[Codigo],0),COLUMN(T_Info[Proyecto]))</f>
        <v>#N/A</v>
      </c>
      <c r="C36" s="30" t="e" cm="1">
        <f t="array" ref="C36">INDEX(T_Info[],MATCH(T_HA[[#This Row],[Codigo]],T_Info[Codigo],0),COLUMN(T_Info[T.S]))</f>
        <v>#N/A</v>
      </c>
      <c r="D36" s="34" t="e" cm="1">
        <f t="array" ref="D36">INDEX(T_Info[],MATCH(T_HA[[#This Row],[Codigo]],T_Info[Codigo],0),COLUMN(T_Info[Z.S]))</f>
        <v>#N/A</v>
      </c>
      <c r="E36" s="34" t="e" cm="1">
        <f t="array" ref="E36">INDEX(T_Info[],MATCH(T_HA[[#This Row],[Codigo]],T_Info[Codigo],0),COLUMN(T_Info[Pisos]))</f>
        <v>#N/A</v>
      </c>
      <c r="F36" s="34" t="e" cm="1">
        <f t="array" ref="F36">INDEX(T_Info[],MATCH(T_HA[[#This Row],[Codigo]],T_Info[Codigo],0),COLUMN(T_Info[Subt.]))</f>
        <v>#N/A</v>
      </c>
      <c r="G36" s="35" t="e" cm="1">
        <f t="array" ref="G36">INDEX(T_Info[],MATCH(T_HA[[#This Row],[Codigo]],T_Info[Codigo],0),COLUMN(T_Info[Superficie m2]))</f>
        <v>#N/A</v>
      </c>
      <c r="H36" s="30" t="e" cm="1">
        <f t="array" ref="H36">IF(INDEX(T_Info[],MATCH(T_HA[[#This Row],[Codigo]],T_Info[Codigo],0),COLUMN(T_Info[Postensado]))&lt;&gt;"",INDEX(T_Info[],MATCH(T_HA[[#This Row],[Codigo]],T_Info[Codigo],0),COLUMN(T_Info[Postensado])),"")</f>
        <v>#N/A</v>
      </c>
      <c r="I36" s="30" t="e" cm="1">
        <f t="array" ref="I36">IF(INDEX(T_Info[],MATCH(T_HA[[#This Row],[Codigo]],T_Info[Codigo],0),COLUMN(T_Info[Losa Fundación]))&lt;&gt;"",INDEX(T_Info[],MATCH(T_HA[[#This Row],[Codigo]],T_Info[Codigo],0),COLUMN(T_Info[Losa Fundación])),"")</f>
        <v>#N/A</v>
      </c>
      <c r="J36" s="32">
        <v>200</v>
      </c>
      <c r="K36" s="32"/>
      <c r="L36" s="32">
        <v>1428.04</v>
      </c>
      <c r="M36" s="32">
        <v>1207</v>
      </c>
      <c r="N36" s="32">
        <v>221</v>
      </c>
      <c r="O36" s="32">
        <v>199.22</v>
      </c>
      <c r="P36" s="32"/>
      <c r="Q36" s="32"/>
      <c r="R36" s="32">
        <v>1670.8</v>
      </c>
      <c r="S36" s="32">
        <v>32.85</v>
      </c>
      <c r="T36" s="32"/>
      <c r="U36" s="32">
        <v>3530.87</v>
      </c>
      <c r="V36" s="57">
        <f>IFERROR(T_HA[[#This Row],[Fund m3]]/T_HA[[#This Row],[Superficie m2]],)</f>
        <v>0</v>
      </c>
      <c r="W36" s="57">
        <f>IFERROR(T_HA[[#This Row],[Muros m3]]/T_HA[[#This Row],[Superficie m2]],)</f>
        <v>0</v>
      </c>
      <c r="X36" s="57">
        <f>IFERROR(T_HA[[#This Row],[Muros Int m3]]/T_HA[[#This Row],[Superficie m2]],)</f>
        <v>0</v>
      </c>
      <c r="Y36" s="57">
        <f>IFERROR(T_HA[[#This Row],[Perimetrales m3]]/T_HA[[#This Row],[Superficie m2]],)</f>
        <v>0</v>
      </c>
      <c r="Z36" s="57">
        <f>IFERROR(T_HA[[#This Row],[Vigas m3]]/T_HA[[#This Row],[Superficie m2]],)</f>
        <v>0</v>
      </c>
      <c r="AA36" s="57">
        <f>IFERROR(T_HA[[#This Row],[Losas m3]]/T_HA[[#This Row],[Superficie m2]],)</f>
        <v>0</v>
      </c>
      <c r="AB36" s="57">
        <f>IFERROR(T_HA[[#This Row],[Total m3]]/T_HA[[#This Row],[Superficie m2]],)</f>
        <v>0</v>
      </c>
    </row>
    <row r="37" spans="1:29" s="6" customFormat="1" x14ac:dyDescent="0.25">
      <c r="A37" s="34">
        <v>17504</v>
      </c>
      <c r="B37" s="31" t="e" cm="1">
        <f t="array" ref="B37">INDEX(T_Info[],MATCH(T_HA[[#This Row],[Codigo]],T_Info[Codigo],0),COLUMN(T_Info[Proyecto]))</f>
        <v>#N/A</v>
      </c>
      <c r="C37" s="30" t="e" cm="1">
        <f t="array" ref="C37">INDEX(T_Info[],MATCH(T_HA[[#This Row],[Codigo]],T_Info[Codigo],0),COLUMN(T_Info[T.S]))</f>
        <v>#N/A</v>
      </c>
      <c r="D37" s="34" t="e" cm="1">
        <f t="array" ref="D37">INDEX(T_Info[],MATCH(T_HA[[#This Row],[Codigo]],T_Info[Codigo],0),COLUMN(T_Info[Z.S]))</f>
        <v>#N/A</v>
      </c>
      <c r="E37" s="34" t="e" cm="1">
        <f t="array" ref="E37">INDEX(T_Info[],MATCH(T_HA[[#This Row],[Codigo]],T_Info[Codigo],0),COLUMN(T_Info[Pisos]))</f>
        <v>#N/A</v>
      </c>
      <c r="F37" s="34" t="e" cm="1">
        <f t="array" ref="F37">INDEX(T_Info[],MATCH(T_HA[[#This Row],[Codigo]],T_Info[Codigo],0),COLUMN(T_Info[Subt.]))</f>
        <v>#N/A</v>
      </c>
      <c r="G37" s="35" t="e" cm="1">
        <f t="array" ref="G37">INDEX(T_Info[],MATCH(T_HA[[#This Row],[Codigo]],T_Info[Codigo],0),COLUMN(T_Info[Superficie m2]))</f>
        <v>#N/A</v>
      </c>
      <c r="H37" s="30" t="e" cm="1">
        <f t="array" ref="H37">IF(INDEX(T_Info[],MATCH(T_HA[[#This Row],[Codigo]],T_Info[Codigo],0),COLUMN(T_Info[Postensado]))&lt;&gt;"",INDEX(T_Info[],MATCH(T_HA[[#This Row],[Codigo]],T_Info[Codigo],0),COLUMN(T_Info[Postensado])),"")</f>
        <v>#N/A</v>
      </c>
      <c r="I37" s="30" t="e" cm="1">
        <f t="array" ref="I37">IF(INDEX(T_Info[],MATCH(T_HA[[#This Row],[Codigo]],T_Info[Codigo],0),COLUMN(T_Info[Losa Fundación]))&lt;&gt;"",INDEX(T_Info[],MATCH(T_HA[[#This Row],[Codigo]],T_Info[Codigo],0),COLUMN(T_Info[Losa Fundación])),"")</f>
        <v>#N/A</v>
      </c>
      <c r="J37" s="32">
        <v>310.72000000000003</v>
      </c>
      <c r="K37" s="32"/>
      <c r="L37" s="32">
        <v>1137.04</v>
      </c>
      <c r="M37" s="32" t="s">
        <v>207</v>
      </c>
      <c r="N37" s="32" t="s">
        <v>207</v>
      </c>
      <c r="O37" s="32">
        <v>173.32</v>
      </c>
      <c r="P37" s="32"/>
      <c r="Q37" s="32"/>
      <c r="R37" s="32">
        <v>1087.21</v>
      </c>
      <c r="S37" s="32">
        <v>9.4343599999999999</v>
      </c>
      <c r="T37" s="32"/>
      <c r="U37" s="32">
        <v>1580.68436</v>
      </c>
      <c r="V37" s="57">
        <f>IFERROR(T_HA[[#This Row],[Fund m3]]/T_HA[[#This Row],[Superficie m2]],)</f>
        <v>0</v>
      </c>
      <c r="W37" s="57">
        <f>IFERROR(T_HA[[#This Row],[Muros m3]]/T_HA[[#This Row],[Superficie m2]],)</f>
        <v>0</v>
      </c>
      <c r="X37" s="57">
        <f>IFERROR(T_HA[[#This Row],[Muros Int m3]]/T_HA[[#This Row],[Superficie m2]],)</f>
        <v>0</v>
      </c>
      <c r="Y37" s="57">
        <f>IFERROR(T_HA[[#This Row],[Perimetrales m3]]/T_HA[[#This Row],[Superficie m2]],)</f>
        <v>0</v>
      </c>
      <c r="Z37" s="57">
        <f>IFERROR(T_HA[[#This Row],[Vigas m3]]/T_HA[[#This Row],[Superficie m2]],)</f>
        <v>0</v>
      </c>
      <c r="AA37" s="57">
        <f>IFERROR(T_HA[[#This Row],[Losas m3]]/T_HA[[#This Row],[Superficie m2]],)</f>
        <v>0</v>
      </c>
      <c r="AB37" s="57">
        <f>IFERROR(T_HA[[#This Row],[Total m3]]/T_HA[[#This Row],[Superficie m2]],)</f>
        <v>0</v>
      </c>
    </row>
    <row r="38" spans="1:29" s="6" customFormat="1" x14ac:dyDescent="0.25">
      <c r="A38" s="34">
        <v>18001</v>
      </c>
      <c r="B38" s="31" t="str" cm="1">
        <f t="array" ref="B38">INDEX(T_Info[],MATCH(T_HA[[#This Row],[Codigo]],T_Info[Codigo],0),COLUMN(T_Info[Proyecto]))</f>
        <v>Robles</v>
      </c>
      <c r="C38" s="30" t="str" cm="1">
        <f t="array" ref="C38">INDEX(T_Info[],MATCH(T_HA[[#This Row],[Codigo]],T_Info[Codigo],0),COLUMN(T_Info[T.S]))</f>
        <v>C</v>
      </c>
      <c r="D38" s="34" cm="1">
        <f t="array" ref="D38">INDEX(T_Info[],MATCH(T_HA[[#This Row],[Codigo]],T_Info[Codigo],0),COLUMN(T_Info[Z.S]))</f>
        <v>2</v>
      </c>
      <c r="E38" s="34" cm="1">
        <f t="array" ref="E38">INDEX(T_Info[],MATCH(T_HA[[#This Row],[Codigo]],T_Info[Codigo],0),COLUMN(T_Info[Pisos]))</f>
        <v>7</v>
      </c>
      <c r="F38" s="34" cm="1">
        <f t="array" ref="F38">INDEX(T_Info[],MATCH(T_HA[[#This Row],[Codigo]],T_Info[Codigo],0),COLUMN(T_Info[Subt.]))</f>
        <v>2</v>
      </c>
      <c r="G38" s="35" cm="1">
        <f t="array" ref="G38">INDEX(T_Info[],MATCH(T_HA[[#This Row],[Codigo]],T_Info[Codigo],0),COLUMN(T_Info[Superficie m2]))</f>
        <v>13883.06</v>
      </c>
      <c r="H38" s="30" t="str" cm="1">
        <f t="array" ref="H38">IF(INDEX(T_Info[],MATCH(T_HA[[#This Row],[Codigo]],T_Info[Codigo],0),COLUMN(T_Info[Postensado]))&lt;&gt;"",INDEX(T_Info[],MATCH(T_HA[[#This Row],[Codigo]],T_Info[Codigo],0),COLUMN(T_Info[Postensado])),"")</f>
        <v/>
      </c>
      <c r="I38" s="30" t="str" cm="1">
        <f t="array" ref="I38">IF(INDEX(T_Info[],MATCH(T_HA[[#This Row],[Codigo]],T_Info[Codigo],0),COLUMN(T_Info[Losa Fundación]))&lt;&gt;"",INDEX(T_Info[],MATCH(T_HA[[#This Row],[Codigo]],T_Info[Codigo],0),COLUMN(T_Info[Losa Fundación])),"")</f>
        <v/>
      </c>
      <c r="J38" s="32">
        <v>218.88</v>
      </c>
      <c r="K38" s="32"/>
      <c r="L38" s="32">
        <v>1670.88</v>
      </c>
      <c r="M38" s="32" t="s">
        <v>207</v>
      </c>
      <c r="N38" s="32" t="s">
        <v>207</v>
      </c>
      <c r="O38" s="32">
        <v>178.82</v>
      </c>
      <c r="P38" s="32"/>
      <c r="Q38" s="32"/>
      <c r="R38" s="32">
        <v>2889.1600000000003</v>
      </c>
      <c r="S38" s="32">
        <v>0</v>
      </c>
      <c r="T38" s="32"/>
      <c r="U38" s="32">
        <v>3286.86</v>
      </c>
      <c r="V38" s="57">
        <f>IFERROR(T_HA[[#This Row],[Fund m3]]/T_HA[[#This Row],[Superficie m2]],)</f>
        <v>1.5765976665086803E-2</v>
      </c>
      <c r="W38" s="57">
        <f>IFERROR(T_HA[[#This Row],[Muros m3]]/T_HA[[#This Row],[Superficie m2]],)</f>
        <v>0.1203538701122087</v>
      </c>
      <c r="X38" s="57">
        <f>IFERROR(T_HA[[#This Row],[Muros Int m3]]/T_HA[[#This Row],[Superficie m2]],)</f>
        <v>0</v>
      </c>
      <c r="Y38" s="57">
        <f>IFERROR(T_HA[[#This Row],[Perimetrales m3]]/T_HA[[#This Row],[Superficie m2]],)</f>
        <v>0</v>
      </c>
      <c r="Z38" s="57">
        <f>IFERROR(T_HA[[#This Row],[Vigas m3]]/T_HA[[#This Row],[Superficie m2]],)</f>
        <v>1.2880445665436871E-2</v>
      </c>
      <c r="AA38" s="57">
        <f>IFERROR(T_HA[[#This Row],[Losas m3]]/T_HA[[#This Row],[Superficie m2]],)</f>
        <v>0.20810685828628561</v>
      </c>
      <c r="AB38" s="57">
        <f>IFERROR(T_HA[[#This Row],[Total m3]]/T_HA[[#This Row],[Superficie m2]],)</f>
        <v>0.23675328061680928</v>
      </c>
    </row>
    <row r="39" spans="1:29" s="6" customFormat="1" x14ac:dyDescent="0.25">
      <c r="A39" s="34">
        <v>18002</v>
      </c>
      <c r="B39" s="31" t="str" cm="1">
        <f t="array" ref="B39">INDEX(T_Info[],MATCH(T_HA[[#This Row],[Codigo]],T_Info[Codigo],0),COLUMN(T_Info[Proyecto]))</f>
        <v>Carrera Domeyko</v>
      </c>
      <c r="C39" s="30" t="str" cm="1">
        <f t="array" ref="C39">INDEX(T_Info[],MATCH(T_HA[[#This Row],[Codigo]],T_Info[Codigo],0),COLUMN(T_Info[T.S]))</f>
        <v>B</v>
      </c>
      <c r="D39" s="34" cm="1">
        <f t="array" ref="D39">INDEX(T_Info[],MATCH(T_HA[[#This Row],[Codigo]],T_Info[Codigo],0),COLUMN(T_Info[Z.S]))</f>
        <v>2</v>
      </c>
      <c r="E39" s="34" cm="1">
        <f t="array" ref="E39">INDEX(T_Info[],MATCH(T_HA[[#This Row],[Codigo]],T_Info[Codigo],0),COLUMN(T_Info[Pisos]))</f>
        <v>10</v>
      </c>
      <c r="F39" s="34" cm="1">
        <f t="array" ref="F39">INDEX(T_Info[],MATCH(T_HA[[#This Row],[Codigo]],T_Info[Codigo],0),COLUMN(T_Info[Subt.]))</f>
        <v>3</v>
      </c>
      <c r="G39" s="35" cm="1">
        <f t="array" ref="G39">INDEX(T_Info[],MATCH(T_HA[[#This Row],[Codigo]],T_Info[Codigo],0),COLUMN(T_Info[Superficie m2]))</f>
        <v>12466.65</v>
      </c>
      <c r="H39" s="30" t="str" cm="1">
        <f t="array" ref="H39">IF(INDEX(T_Info[],MATCH(T_HA[[#This Row],[Codigo]],T_Info[Codigo],0),COLUMN(T_Info[Postensado]))&lt;&gt;"",INDEX(T_Info[],MATCH(T_HA[[#This Row],[Codigo]],T_Info[Codigo],0),COLUMN(T_Info[Postensado])),"")</f>
        <v/>
      </c>
      <c r="I39" s="30" t="str" cm="1">
        <f t="array" ref="I39">IF(INDEX(T_Info[],MATCH(T_HA[[#This Row],[Codigo]],T_Info[Codigo],0),COLUMN(T_Info[Losa Fundación]))&lt;&gt;"",INDEX(T_Info[],MATCH(T_HA[[#This Row],[Codigo]],T_Info[Codigo],0),COLUMN(T_Info[Losa Fundación])),"")</f>
        <v/>
      </c>
      <c r="J39" s="32">
        <v>249.62</v>
      </c>
      <c r="K39" s="32"/>
      <c r="L39" s="32">
        <v>1847.2200000000003</v>
      </c>
      <c r="M39" s="32" t="s">
        <v>207</v>
      </c>
      <c r="N39" s="32" t="s">
        <v>207</v>
      </c>
      <c r="O39" s="32">
        <v>201.62</v>
      </c>
      <c r="P39" s="32"/>
      <c r="Q39" s="32"/>
      <c r="R39" s="32">
        <v>2038.5299999999997</v>
      </c>
      <c r="S39" s="32">
        <v>20.92</v>
      </c>
      <c r="T39" s="32"/>
      <c r="U39" s="32">
        <v>2510.6899999999996</v>
      </c>
      <c r="V39" s="57">
        <f>IFERROR(T_HA[[#This Row],[Fund m3]]/T_HA[[#This Row],[Superficie m2]],)</f>
        <v>2.0023021421151633E-2</v>
      </c>
      <c r="W39" s="57">
        <f>IFERROR(T_HA[[#This Row],[Muros m3]]/T_HA[[#This Row],[Superficie m2]],)</f>
        <v>0.1481729253648735</v>
      </c>
      <c r="X39" s="57">
        <f>IFERROR(T_HA[[#This Row],[Muros Int m3]]/T_HA[[#This Row],[Superficie m2]],)</f>
        <v>0</v>
      </c>
      <c r="Y39" s="57">
        <f>IFERROR(T_HA[[#This Row],[Perimetrales m3]]/T_HA[[#This Row],[Superficie m2]],)</f>
        <v>0</v>
      </c>
      <c r="Z39" s="57">
        <f>IFERROR(T_HA[[#This Row],[Vigas m3]]/T_HA[[#This Row],[Superficie m2]],)</f>
        <v>1.6172748894049325E-2</v>
      </c>
      <c r="AA39" s="57">
        <f>IFERROR(T_HA[[#This Row],[Losas m3]]/T_HA[[#This Row],[Superficie m2]],)</f>
        <v>0.16351866780570562</v>
      </c>
      <c r="AB39" s="57">
        <f>IFERROR(T_HA[[#This Row],[Total m3]]/T_HA[[#This Row],[Superficie m2]],)</f>
        <v>0.20139251523063531</v>
      </c>
    </row>
    <row r="40" spans="1:29" s="6" customFormat="1" x14ac:dyDescent="0.25">
      <c r="A40" s="34">
        <v>18003</v>
      </c>
      <c r="B40" s="31" t="str" cm="1">
        <f t="array" ref="B40">INDEX(T_Info[],MATCH(T_HA[[#This Row],[Codigo]],T_Info[Codigo],0),COLUMN(T_Info[Proyecto]))</f>
        <v>Eleuterio Ramírez</v>
      </c>
      <c r="C40" s="30" t="str" cm="1">
        <f t="array" ref="C40">INDEX(T_Info[],MATCH(T_HA[[#This Row],[Codigo]],T_Info[Codigo],0),COLUMN(T_Info[T.S]))</f>
        <v>B</v>
      </c>
      <c r="D40" s="34" cm="1">
        <f t="array" ref="D40">INDEX(T_Info[],MATCH(T_HA[[#This Row],[Codigo]],T_Info[Codigo],0),COLUMN(T_Info[Z.S]))</f>
        <v>2</v>
      </c>
      <c r="E40" s="34" cm="1">
        <f t="array" ref="E40">INDEX(T_Info[],MATCH(T_HA[[#This Row],[Codigo]],T_Info[Codigo],0),COLUMN(T_Info[Pisos]))</f>
        <v>12</v>
      </c>
      <c r="F40" s="34" cm="1">
        <f t="array" ref="F40">INDEX(T_Info[],MATCH(T_HA[[#This Row],[Codigo]],T_Info[Codigo],0),COLUMN(T_Info[Subt.]))</f>
        <v>4</v>
      </c>
      <c r="G40" s="35" cm="1">
        <f t="array" ref="G40">INDEX(T_Info[],MATCH(T_HA[[#This Row],[Codigo]],T_Info[Codigo],0),COLUMN(T_Info[Superficie m2]))</f>
        <v>11673.69</v>
      </c>
      <c r="H40" s="30" t="str" cm="1">
        <f t="array" ref="H40">IF(INDEX(T_Info[],MATCH(T_HA[[#This Row],[Codigo]],T_Info[Codigo],0),COLUMN(T_Info[Postensado]))&lt;&gt;"",INDEX(T_Info[],MATCH(T_HA[[#This Row],[Codigo]],T_Info[Codigo],0),COLUMN(T_Info[Postensado])),"")</f>
        <v/>
      </c>
      <c r="I40" s="30" t="str" cm="1">
        <f t="array" ref="I40">IF(INDEX(T_Info[],MATCH(T_HA[[#This Row],[Codigo]],T_Info[Codigo],0),COLUMN(T_Info[Losa Fundación]))&lt;&gt;"",INDEX(T_Info[],MATCH(T_HA[[#This Row],[Codigo]],T_Info[Codigo],0),COLUMN(T_Info[Losa Fundación])),"")</f>
        <v/>
      </c>
      <c r="J40" s="32" t="s">
        <v>207</v>
      </c>
      <c r="K40" s="32"/>
      <c r="L40" s="32" t="s">
        <v>207</v>
      </c>
      <c r="M40" s="32" t="s">
        <v>207</v>
      </c>
      <c r="N40" s="32" t="s">
        <v>207</v>
      </c>
      <c r="O40" s="32" t="s">
        <v>207</v>
      </c>
      <c r="P40" s="32"/>
      <c r="Q40" s="32"/>
      <c r="R40" s="32" t="s">
        <v>207</v>
      </c>
      <c r="S40" s="32">
        <v>0</v>
      </c>
      <c r="T40" s="32"/>
      <c r="U40" s="32">
        <v>0</v>
      </c>
      <c r="V40" s="57">
        <f>IFERROR(T_HA[[#This Row],[Fund m3]]/T_HA[[#This Row],[Superficie m2]],)</f>
        <v>0</v>
      </c>
      <c r="W40" s="57">
        <f>IFERROR(T_HA[[#This Row],[Muros m3]]/T_HA[[#This Row],[Superficie m2]],)</f>
        <v>0</v>
      </c>
      <c r="X40" s="57">
        <f>IFERROR(T_HA[[#This Row],[Muros Int m3]]/T_HA[[#This Row],[Superficie m2]],)</f>
        <v>0</v>
      </c>
      <c r="Y40" s="57">
        <f>IFERROR(T_HA[[#This Row],[Perimetrales m3]]/T_HA[[#This Row],[Superficie m2]],)</f>
        <v>0</v>
      </c>
      <c r="Z40" s="57">
        <f>IFERROR(T_HA[[#This Row],[Vigas m3]]/T_HA[[#This Row],[Superficie m2]],)</f>
        <v>0</v>
      </c>
      <c r="AA40" s="57">
        <f>IFERROR(T_HA[[#This Row],[Losas m3]]/T_HA[[#This Row],[Superficie m2]],)</f>
        <v>0</v>
      </c>
      <c r="AB40" s="57">
        <f>IFERROR(T_HA[[#This Row],[Total m3]]/T_HA[[#This Row],[Superficie m2]],)</f>
        <v>0</v>
      </c>
    </row>
    <row r="41" spans="1:29" s="6" customFormat="1" x14ac:dyDescent="0.25">
      <c r="A41" s="34">
        <v>18004</v>
      </c>
      <c r="B41" s="31" t="str" cm="1">
        <f t="array" ref="B41">INDEX(T_Info[],MATCH(T_HA[[#This Row],[Codigo]],T_Info[Codigo],0),COLUMN(T_Info[Proyecto]))</f>
        <v>Vicente Huidobro</v>
      </c>
      <c r="C41" s="30" t="str" cm="1">
        <f t="array" ref="C41">INDEX(T_Info[],MATCH(T_HA[[#This Row],[Codigo]],T_Info[Codigo],0),COLUMN(T_Info[T.S]))</f>
        <v>C</v>
      </c>
      <c r="D41" s="34" cm="1">
        <f t="array" ref="D41">INDEX(T_Info[],MATCH(T_HA[[#This Row],[Codigo]],T_Info[Codigo],0),COLUMN(T_Info[Z.S]))</f>
        <v>2</v>
      </c>
      <c r="E41" s="34" cm="1">
        <f t="array" ref="E41">INDEX(T_Info[],MATCH(T_HA[[#This Row],[Codigo]],T_Info[Codigo],0),COLUMN(T_Info[Pisos]))</f>
        <v>12</v>
      </c>
      <c r="F41" s="34" cm="1">
        <f t="array" ref="F41">INDEX(T_Info[],MATCH(T_HA[[#This Row],[Codigo]],T_Info[Codigo],0),COLUMN(T_Info[Subt.]))</f>
        <v>3</v>
      </c>
      <c r="G41" s="35" cm="1">
        <f t="array" ref="G41">INDEX(T_Info[],MATCH(T_HA[[#This Row],[Codigo]],T_Info[Codigo],0),COLUMN(T_Info[Superficie m2]))</f>
        <v>16237.81</v>
      </c>
      <c r="H41" s="30" t="str" cm="1">
        <f t="array" ref="H41">IF(INDEX(T_Info[],MATCH(T_HA[[#This Row],[Codigo]],T_Info[Codigo],0),COLUMN(T_Info[Postensado]))&lt;&gt;"",INDEX(T_Info[],MATCH(T_HA[[#This Row],[Codigo]],T_Info[Codigo],0),COLUMN(T_Info[Postensado])),"")</f>
        <v/>
      </c>
      <c r="I41" s="30" t="str" cm="1">
        <f t="array" ref="I41">IF(INDEX(T_Info[],MATCH(T_HA[[#This Row],[Codigo]],T_Info[Codigo],0),COLUMN(T_Info[Losa Fundación]))&lt;&gt;"",INDEX(T_Info[],MATCH(T_HA[[#This Row],[Codigo]],T_Info[Codigo],0),COLUMN(T_Info[Losa Fundación])),"")</f>
        <v>Si</v>
      </c>
      <c r="J41" s="32">
        <v>920.7</v>
      </c>
      <c r="K41" s="32"/>
      <c r="L41" s="32">
        <v>2308</v>
      </c>
      <c r="M41" s="32" t="s">
        <v>207</v>
      </c>
      <c r="N41" s="32" t="s">
        <v>207</v>
      </c>
      <c r="O41" s="32">
        <v>252.38000000000096</v>
      </c>
      <c r="P41" s="32"/>
      <c r="Q41" s="32"/>
      <c r="R41" s="32">
        <v>3372.77</v>
      </c>
      <c r="S41" s="32">
        <v>28.000000000000011</v>
      </c>
      <c r="T41" s="32"/>
      <c r="U41" s="32">
        <v>4573.8500000000013</v>
      </c>
      <c r="V41" s="57">
        <f>IFERROR(T_HA[[#This Row],[Fund m3]]/T_HA[[#This Row],[Superficie m2]],)</f>
        <v>5.6700996008698219E-2</v>
      </c>
      <c r="W41" s="57">
        <f>IFERROR(T_HA[[#This Row],[Muros m3]]/T_HA[[#This Row],[Superficie m2]],)</f>
        <v>0.14213739414366838</v>
      </c>
      <c r="X41" s="57">
        <f>IFERROR(T_HA[[#This Row],[Muros Int m3]]/T_HA[[#This Row],[Superficie m2]],)</f>
        <v>0</v>
      </c>
      <c r="Y41" s="57">
        <f>IFERROR(T_HA[[#This Row],[Perimetrales m3]]/T_HA[[#This Row],[Superficie m2]],)</f>
        <v>0</v>
      </c>
      <c r="Z41" s="57">
        <f>IFERROR(T_HA[[#This Row],[Vigas m3]]/T_HA[[#This Row],[Superficie m2]],)</f>
        <v>1.55427363665421E-2</v>
      </c>
      <c r="AA41" s="57">
        <f>IFERROR(T_HA[[#This Row],[Losas m3]]/T_HA[[#This Row],[Superficie m2]],)</f>
        <v>0.20771089204763452</v>
      </c>
      <c r="AB41" s="57">
        <f>IFERROR(T_HA[[#This Row],[Total m3]]/T_HA[[#This Row],[Superficie m2]],)</f>
        <v>0.28167899488908921</v>
      </c>
    </row>
    <row r="42" spans="1:29" s="6" customFormat="1" x14ac:dyDescent="0.25">
      <c r="A42" s="34">
        <v>18006</v>
      </c>
      <c r="B42" s="31" t="str" cm="1">
        <f t="array" ref="B42">INDEX(T_Info[],MATCH(T_HA[[#This Row],[Codigo]],T_Info[Codigo],0),COLUMN(T_Info[Proyecto]))</f>
        <v>Tucapel</v>
      </c>
      <c r="C42" s="30" t="str" cm="1">
        <f t="array" ref="C42">INDEX(T_Info[],MATCH(T_HA[[#This Row],[Codigo]],T_Info[Codigo],0),COLUMN(T_Info[T.S]))</f>
        <v>D</v>
      </c>
      <c r="D42" s="34" cm="1">
        <f t="array" ref="D42">INDEX(T_Info[],MATCH(T_HA[[#This Row],[Codigo]],T_Info[Codigo],0),COLUMN(T_Info[Z.S]))</f>
        <v>3</v>
      </c>
      <c r="E42" s="34" cm="1">
        <f t="array" ref="E42">INDEX(T_Info[],MATCH(T_HA[[#This Row],[Codigo]],T_Info[Codigo],0),COLUMN(T_Info[Pisos]))</f>
        <v>19</v>
      </c>
      <c r="F42" s="34" cm="1">
        <f t="array" ref="F42">INDEX(T_Info[],MATCH(T_HA[[#This Row],[Codigo]],T_Info[Codigo],0),COLUMN(T_Info[Subt.]))</f>
        <v>3</v>
      </c>
      <c r="G42" s="35" cm="1">
        <f t="array" ref="G42">INDEX(T_Info[],MATCH(T_HA[[#This Row],[Codigo]],T_Info[Codigo],0),COLUMN(T_Info[Superficie m2]))</f>
        <v>17423.97</v>
      </c>
      <c r="H42" s="30" t="str" cm="1">
        <f t="array" ref="H42">IF(INDEX(T_Info[],MATCH(T_HA[[#This Row],[Codigo]],T_Info[Codigo],0),COLUMN(T_Info[Postensado]))&lt;&gt;"",INDEX(T_Info[],MATCH(T_HA[[#This Row],[Codigo]],T_Info[Codigo],0),COLUMN(T_Info[Postensado])),"")</f>
        <v/>
      </c>
      <c r="I42" s="30" t="str" cm="1">
        <f t="array" ref="I42">IF(INDEX(T_Info[],MATCH(T_HA[[#This Row],[Codigo]],T_Info[Codigo],0),COLUMN(T_Info[Losa Fundación]))&lt;&gt;"",INDEX(T_Info[],MATCH(T_HA[[#This Row],[Codigo]],T_Info[Codigo],0),COLUMN(T_Info[Losa Fundación])),"")</f>
        <v/>
      </c>
      <c r="J42" s="32" t="s">
        <v>207</v>
      </c>
      <c r="K42" s="32"/>
      <c r="L42" s="32">
        <v>3046.099999999999</v>
      </c>
      <c r="M42" s="32" t="s">
        <v>207</v>
      </c>
      <c r="N42" s="32" t="s">
        <v>207</v>
      </c>
      <c r="O42" s="32">
        <v>346.1</v>
      </c>
      <c r="P42" s="32"/>
      <c r="Q42" s="32"/>
      <c r="R42" s="32">
        <v>3868.139999999999</v>
      </c>
      <c r="S42" s="32">
        <v>0</v>
      </c>
      <c r="T42" s="32"/>
      <c r="U42" s="32">
        <v>4214.2399999999989</v>
      </c>
      <c r="V42" s="57">
        <f>IFERROR(T_HA[[#This Row],[Fund m3]]/T_HA[[#This Row],[Superficie m2]],)</f>
        <v>0</v>
      </c>
      <c r="W42" s="57">
        <f>IFERROR(T_HA[[#This Row],[Muros m3]]/T_HA[[#This Row],[Superficie m2]],)</f>
        <v>0.17482238548390513</v>
      </c>
      <c r="X42" s="57">
        <f>IFERROR(T_HA[[#This Row],[Muros Int m3]]/T_HA[[#This Row],[Superficie m2]],)</f>
        <v>0</v>
      </c>
      <c r="Y42" s="57">
        <f>IFERROR(T_HA[[#This Row],[Perimetrales m3]]/T_HA[[#This Row],[Superficie m2]],)</f>
        <v>0</v>
      </c>
      <c r="Z42" s="57">
        <f>IFERROR(T_HA[[#This Row],[Vigas m3]]/T_HA[[#This Row],[Superficie m2]],)</f>
        <v>1.9863440995364433E-2</v>
      </c>
      <c r="AA42" s="57">
        <f>IFERROR(T_HA[[#This Row],[Losas m3]]/T_HA[[#This Row],[Superficie m2]],)</f>
        <v>0.22200107093848295</v>
      </c>
      <c r="AB42" s="57">
        <f>IFERROR(T_HA[[#This Row],[Total m3]]/T_HA[[#This Row],[Superficie m2]],)</f>
        <v>0.24186451193384736</v>
      </c>
    </row>
    <row r="43" spans="1:29" s="6" customFormat="1" x14ac:dyDescent="0.25">
      <c r="A43" s="34">
        <v>18007</v>
      </c>
      <c r="B43" s="31" t="str" cm="1">
        <f t="array" ref="B43">INDEX(T_Info[],MATCH(T_HA[[#This Row],[Codigo]],T_Info[Codigo],0),COLUMN(T_Info[Proyecto]))</f>
        <v>Alcántara</v>
      </c>
      <c r="C43" s="30" t="str" cm="1">
        <f t="array" ref="C43">INDEX(T_Info[],MATCH(T_HA[[#This Row],[Codigo]],T_Info[Codigo],0),COLUMN(T_Info[T.S]))</f>
        <v>B</v>
      </c>
      <c r="D43" s="34" cm="1">
        <f t="array" ref="D43">INDEX(T_Info[],MATCH(T_HA[[#This Row],[Codigo]],T_Info[Codigo],0),COLUMN(T_Info[Z.S]))</f>
        <v>2</v>
      </c>
      <c r="E43" s="34" cm="1">
        <f t="array" ref="E43">INDEX(T_Info[],MATCH(T_HA[[#This Row],[Codigo]],T_Info[Codigo],0),COLUMN(T_Info[Pisos]))</f>
        <v>14</v>
      </c>
      <c r="F43" s="34" cm="1">
        <f t="array" ref="F43">INDEX(T_Info[],MATCH(T_HA[[#This Row],[Codigo]],T_Info[Codigo],0),COLUMN(T_Info[Subt.]))</f>
        <v>3</v>
      </c>
      <c r="G43" s="35" cm="1">
        <f t="array" ref="G43">INDEX(T_Info[],MATCH(T_HA[[#This Row],[Codigo]],T_Info[Codigo],0),COLUMN(T_Info[Superficie m2]))</f>
        <v>12532.51</v>
      </c>
      <c r="H43" s="30" t="str" cm="1">
        <f t="array" ref="H43">IF(INDEX(T_Info[],MATCH(T_HA[[#This Row],[Codigo]],T_Info[Codigo],0),COLUMN(T_Info[Postensado]))&lt;&gt;"",INDEX(T_Info[],MATCH(T_HA[[#This Row],[Codigo]],T_Info[Codigo],0),COLUMN(T_Info[Postensado])),"")</f>
        <v/>
      </c>
      <c r="I43" s="30" t="str" cm="1">
        <f t="array" ref="I43">IF(INDEX(T_Info[],MATCH(T_HA[[#This Row],[Codigo]],T_Info[Codigo],0),COLUMN(T_Info[Losa Fundación]))&lt;&gt;"",INDEX(T_Info[],MATCH(T_HA[[#This Row],[Codigo]],T_Info[Codigo],0),COLUMN(T_Info[Losa Fundación])),"")</f>
        <v/>
      </c>
      <c r="J43" s="32">
        <v>282.01</v>
      </c>
      <c r="K43" s="32"/>
      <c r="L43" s="32">
        <v>1584.33</v>
      </c>
      <c r="M43" s="32" t="s">
        <v>207</v>
      </c>
      <c r="N43" s="32" t="s">
        <v>207</v>
      </c>
      <c r="O43" s="32">
        <v>273.94</v>
      </c>
      <c r="P43" s="32"/>
      <c r="Q43" s="32"/>
      <c r="R43" s="32">
        <v>2124.21</v>
      </c>
      <c r="S43" s="32">
        <v>0</v>
      </c>
      <c r="T43" s="32"/>
      <c r="U43" s="32">
        <v>2680.16</v>
      </c>
      <c r="V43" s="57">
        <f>IFERROR(T_HA[[#This Row],[Fund m3]]/T_HA[[#This Row],[Superficie m2]],)</f>
        <v>2.250227608037017E-2</v>
      </c>
      <c r="W43" s="57">
        <f>IFERROR(T_HA[[#This Row],[Muros m3]]/T_HA[[#This Row],[Superficie m2]],)</f>
        <v>0.12641761307192254</v>
      </c>
      <c r="X43" s="57">
        <f>IFERROR(T_HA[[#This Row],[Muros Int m3]]/T_HA[[#This Row],[Superficie m2]],)</f>
        <v>0</v>
      </c>
      <c r="Y43" s="57">
        <f>IFERROR(T_HA[[#This Row],[Perimetrales m3]]/T_HA[[#This Row],[Superficie m2]],)</f>
        <v>0</v>
      </c>
      <c r="Z43" s="57">
        <f>IFERROR(T_HA[[#This Row],[Vigas m3]]/T_HA[[#This Row],[Superficie m2]],)</f>
        <v>2.1858350801236145E-2</v>
      </c>
      <c r="AA43" s="57">
        <f>IFERROR(T_HA[[#This Row],[Losas m3]]/T_HA[[#This Row],[Superficie m2]],)</f>
        <v>0.16949597486856186</v>
      </c>
      <c r="AB43" s="57">
        <f>IFERROR(T_HA[[#This Row],[Total m3]]/T_HA[[#This Row],[Superficie m2]],)</f>
        <v>0.21385660175016816</v>
      </c>
    </row>
    <row r="44" spans="1:29" s="6" customFormat="1" x14ac:dyDescent="0.25">
      <c r="A44" s="34">
        <v>18039</v>
      </c>
      <c r="B44" s="31" t="str" cm="1">
        <f t="array" ref="B44">INDEX(T_Info[],MATCH(T_HA[[#This Row],[Codigo]],T_Info[Codigo],0),COLUMN(T_Info[Proyecto]))</f>
        <v>Portofino</v>
      </c>
      <c r="C44" s="30" t="str" cm="1">
        <f t="array" ref="C44">INDEX(T_Info[],MATCH(T_HA[[#This Row],[Codigo]],T_Info[Codigo],0),COLUMN(T_Info[T.S]))</f>
        <v>B</v>
      </c>
      <c r="D44" s="34" cm="1">
        <f t="array" ref="D44">INDEX(T_Info[],MATCH(T_HA[[#This Row],[Codigo]],T_Info[Codigo],0),COLUMN(T_Info[Z.S]))</f>
        <v>2</v>
      </c>
      <c r="E44" s="34" cm="1">
        <f t="array" ref="E44">INDEX(T_Info[],MATCH(T_HA[[#This Row],[Codigo]],T_Info[Codigo],0),COLUMN(T_Info[Pisos]))</f>
        <v>15</v>
      </c>
      <c r="F44" s="34" cm="1">
        <f t="array" ref="F44">INDEX(T_Info[],MATCH(T_HA[[#This Row],[Codigo]],T_Info[Codigo],0),COLUMN(T_Info[Subt.]))</f>
        <v>2</v>
      </c>
      <c r="G44" s="35" cm="1">
        <f t="array" ref="G44">INDEX(T_Info[],MATCH(T_HA[[#This Row],[Codigo]],T_Info[Codigo],0),COLUMN(T_Info[Superficie m2]))</f>
        <v>10710.52</v>
      </c>
      <c r="H44" s="30" t="str" cm="1">
        <f t="array" ref="H44">IF(INDEX(T_Info[],MATCH(T_HA[[#This Row],[Codigo]],T_Info[Codigo],0),COLUMN(T_Info[Postensado]))&lt;&gt;"",INDEX(T_Info[],MATCH(T_HA[[#This Row],[Codigo]],T_Info[Codigo],0),COLUMN(T_Info[Postensado])),"")</f>
        <v/>
      </c>
      <c r="I44" s="30" t="str" cm="1">
        <f t="array" ref="I44">IF(INDEX(T_Info[],MATCH(T_HA[[#This Row],[Codigo]],T_Info[Codigo],0),COLUMN(T_Info[Losa Fundación]))&lt;&gt;"",INDEX(T_Info[],MATCH(T_HA[[#This Row],[Codigo]],T_Info[Codigo],0),COLUMN(T_Info[Losa Fundación])),"")</f>
        <v/>
      </c>
      <c r="J44" s="32">
        <v>266.71999999999997</v>
      </c>
      <c r="K44" s="32"/>
      <c r="L44" s="32">
        <v>1527.5800000000002</v>
      </c>
      <c r="M44" s="32" t="s">
        <v>207</v>
      </c>
      <c r="N44" s="32" t="s">
        <v>207</v>
      </c>
      <c r="O44" s="32">
        <v>361.62</v>
      </c>
      <c r="P44" s="32"/>
      <c r="Q44" s="32"/>
      <c r="R44" s="32">
        <v>1690.27</v>
      </c>
      <c r="S44" s="32">
        <v>21.439999999999998</v>
      </c>
      <c r="T44" s="32"/>
      <c r="U44" s="32">
        <v>2340.0499999999997</v>
      </c>
      <c r="V44" s="57">
        <f>IFERROR(T_HA[[#This Row],[Fund m3]]/T_HA[[#This Row],[Superficie m2]],)</f>
        <v>2.4902619107195538E-2</v>
      </c>
      <c r="W44" s="57">
        <f>IFERROR(T_HA[[#This Row],[Muros m3]]/T_HA[[#This Row],[Superficie m2]],)</f>
        <v>0.14262426100693523</v>
      </c>
      <c r="X44" s="57">
        <f>IFERROR(T_HA[[#This Row],[Muros Int m3]]/T_HA[[#This Row],[Superficie m2]],)</f>
        <v>0</v>
      </c>
      <c r="Y44" s="57">
        <f>IFERROR(T_HA[[#This Row],[Perimetrales m3]]/T_HA[[#This Row],[Superficie m2]],)</f>
        <v>0</v>
      </c>
      <c r="Z44" s="57">
        <f>IFERROR(T_HA[[#This Row],[Vigas m3]]/T_HA[[#This Row],[Superficie m2]],)</f>
        <v>3.3763066592471698E-2</v>
      </c>
      <c r="AA44" s="57">
        <f>IFERROR(T_HA[[#This Row],[Losas m3]]/T_HA[[#This Row],[Superficie m2]],)</f>
        <v>0.15781399969375903</v>
      </c>
      <c r="AB44" s="57">
        <f>IFERROR(T_HA[[#This Row],[Total m3]]/T_HA[[#This Row],[Superficie m2]],)</f>
        <v>0.21848145561560034</v>
      </c>
    </row>
    <row r="45" spans="1:29" s="6" customFormat="1" x14ac:dyDescent="0.25">
      <c r="A45" s="34">
        <v>18044</v>
      </c>
      <c r="B45" s="31" t="str" cm="1">
        <f t="array" ref="B45">INDEX(T_Info[],MATCH(T_HA[[#This Row],[Codigo]],T_Info[Codigo],0),COLUMN(T_Info[Proyecto]))</f>
        <v>San Joaquin</v>
      </c>
      <c r="C45" s="30" t="str" cm="1">
        <f t="array" ref="C45">INDEX(T_Info[],MATCH(T_HA[[#This Row],[Codigo]],T_Info[Codigo],0),COLUMN(T_Info[T.S]))</f>
        <v>B</v>
      </c>
      <c r="D45" s="34" cm="1">
        <f t="array" ref="D45">INDEX(T_Info[],MATCH(T_HA[[#This Row],[Codigo]],T_Info[Codigo],0),COLUMN(T_Info[Z.S]))</f>
        <v>2</v>
      </c>
      <c r="E45" s="34" cm="1">
        <f t="array" ref="E45">INDEX(T_Info[],MATCH(T_HA[[#This Row],[Codigo]],T_Info[Codigo],0),COLUMN(T_Info[Pisos]))</f>
        <v>16</v>
      </c>
      <c r="F45" s="34" cm="1">
        <f t="array" ref="F45">INDEX(T_Info[],MATCH(T_HA[[#This Row],[Codigo]],T_Info[Codigo],0),COLUMN(T_Info[Subt.]))</f>
        <v>1</v>
      </c>
      <c r="G45" s="35" cm="1">
        <f t="array" ref="G45">INDEX(T_Info[],MATCH(T_HA[[#This Row],[Codigo]],T_Info[Codigo],0),COLUMN(T_Info[Superficie m2]))</f>
        <v>33962.75</v>
      </c>
      <c r="H45" s="30" t="str" cm="1">
        <f t="array" ref="H45">IF(INDEX(T_Info[],MATCH(T_HA[[#This Row],[Codigo]],T_Info[Codigo],0),COLUMN(T_Info[Postensado]))&lt;&gt;"",INDEX(T_Info[],MATCH(T_HA[[#This Row],[Codigo]],T_Info[Codigo],0),COLUMN(T_Info[Postensado])),"")</f>
        <v/>
      </c>
      <c r="I45" s="30" t="str" cm="1">
        <f t="array" ref="I45">IF(INDEX(T_Info[],MATCH(T_HA[[#This Row],[Codigo]],T_Info[Codigo],0),COLUMN(T_Info[Losa Fundación]))&lt;&gt;"",INDEX(T_Info[],MATCH(T_HA[[#This Row],[Codigo]],T_Info[Codigo],0),COLUMN(T_Info[Losa Fundación])),"")</f>
        <v/>
      </c>
      <c r="J45" s="32" t="s">
        <v>207</v>
      </c>
      <c r="K45" s="32"/>
      <c r="L45" s="32" t="s">
        <v>207</v>
      </c>
      <c r="M45" s="32" t="s">
        <v>207</v>
      </c>
      <c r="N45" s="32" t="s">
        <v>207</v>
      </c>
      <c r="O45" s="32" t="s">
        <v>207</v>
      </c>
      <c r="P45" s="32"/>
      <c r="Q45" s="32"/>
      <c r="R45" s="32" t="s">
        <v>207</v>
      </c>
      <c r="S45" s="32">
        <v>0</v>
      </c>
      <c r="T45" s="32"/>
      <c r="U45" s="32">
        <v>0</v>
      </c>
      <c r="V45" s="57">
        <f>IFERROR(T_HA[[#This Row],[Fund m3]]/T_HA[[#This Row],[Superficie m2]],)</f>
        <v>0</v>
      </c>
      <c r="W45" s="57">
        <f>IFERROR(T_HA[[#This Row],[Muros m3]]/T_HA[[#This Row],[Superficie m2]],)</f>
        <v>0</v>
      </c>
      <c r="X45" s="57">
        <f>IFERROR(T_HA[[#This Row],[Muros Int m3]]/T_HA[[#This Row],[Superficie m2]],)</f>
        <v>0</v>
      </c>
      <c r="Y45" s="57">
        <f>IFERROR(T_HA[[#This Row],[Perimetrales m3]]/T_HA[[#This Row],[Superficie m2]],)</f>
        <v>0</v>
      </c>
      <c r="Z45" s="57">
        <f>IFERROR(T_HA[[#This Row],[Vigas m3]]/T_HA[[#This Row],[Superficie m2]],)</f>
        <v>0</v>
      </c>
      <c r="AA45" s="57">
        <f>IFERROR(T_HA[[#This Row],[Losas m3]]/T_HA[[#This Row],[Superficie m2]],)</f>
        <v>0</v>
      </c>
      <c r="AB45" s="57">
        <f>IFERROR(T_HA[[#This Row],[Total m3]]/T_HA[[#This Row],[Superficie m2]],)</f>
        <v>0</v>
      </c>
    </row>
    <row r="46" spans="1:29" s="6" customFormat="1" x14ac:dyDescent="0.25">
      <c r="A46" s="34">
        <v>18057</v>
      </c>
      <c r="B46" s="31" t="str" cm="1">
        <f t="array" ref="B46">INDEX(T_Info[],MATCH(T_HA[[#This Row],[Codigo]],T_Info[Codigo],0),COLUMN(T_Info[Proyecto]))</f>
        <v>2 Norte</v>
      </c>
      <c r="C46" s="30" t="str" cm="1">
        <f t="array" ref="C46">INDEX(T_Info[],MATCH(T_HA[[#This Row],[Codigo]],T_Info[Codigo],0),COLUMN(T_Info[T.S]))</f>
        <v>D</v>
      </c>
      <c r="D46" s="34" cm="1">
        <f t="array" ref="D46">INDEX(T_Info[],MATCH(T_HA[[#This Row],[Codigo]],T_Info[Codigo],0),COLUMN(T_Info[Z.S]))</f>
        <v>3</v>
      </c>
      <c r="E46" s="34" cm="1">
        <f t="array" ref="E46">INDEX(T_Info[],MATCH(T_HA[[#This Row],[Codigo]],T_Info[Codigo],0),COLUMN(T_Info[Pisos]))</f>
        <v>17</v>
      </c>
      <c r="F46" s="34" cm="1">
        <f t="array" ref="F46">INDEX(T_Info[],MATCH(T_HA[[#This Row],[Codigo]],T_Info[Codigo],0),COLUMN(T_Info[Subt.]))</f>
        <v>2</v>
      </c>
      <c r="G46" s="35" cm="1">
        <f t="array" ref="G46">INDEX(T_Info[],MATCH(T_HA[[#This Row],[Codigo]],T_Info[Codigo],0),COLUMN(T_Info[Superficie m2]))</f>
        <v>10358.24</v>
      </c>
      <c r="H46" s="30" t="str" cm="1">
        <f t="array" ref="H46">IF(INDEX(T_Info[],MATCH(T_HA[[#This Row],[Codigo]],T_Info[Codigo],0),COLUMN(T_Info[Postensado]))&lt;&gt;"",INDEX(T_Info[],MATCH(T_HA[[#This Row],[Codigo]],T_Info[Codigo],0),COLUMN(T_Info[Postensado])),"")</f>
        <v/>
      </c>
      <c r="I46" s="30" t="str" cm="1">
        <f t="array" ref="I46">IF(INDEX(T_Info[],MATCH(T_HA[[#This Row],[Codigo]],T_Info[Codigo],0),COLUMN(T_Info[Losa Fundación]))&lt;&gt;"",INDEX(T_Info[],MATCH(T_HA[[#This Row],[Codigo]],T_Info[Codigo],0),COLUMN(T_Info[Losa Fundación])),"")</f>
        <v/>
      </c>
      <c r="J46" s="32" t="s">
        <v>207</v>
      </c>
      <c r="K46" s="32"/>
      <c r="L46" s="32">
        <v>1556.1</v>
      </c>
      <c r="M46" s="32" t="s">
        <v>207</v>
      </c>
      <c r="N46" s="32" t="s">
        <v>207</v>
      </c>
      <c r="O46" s="32">
        <v>240.55</v>
      </c>
      <c r="P46" s="32"/>
      <c r="Q46" s="32"/>
      <c r="R46" s="32">
        <v>2399.16</v>
      </c>
      <c r="S46" s="32">
        <v>0</v>
      </c>
      <c r="T46" s="32"/>
      <c r="U46" s="32">
        <v>2639.71</v>
      </c>
      <c r="V46" s="57">
        <f>IFERROR(T_HA[[#This Row],[Fund m3]]/T_HA[[#This Row],[Superficie m2]],)</f>
        <v>0</v>
      </c>
      <c r="W46" s="57">
        <f>IFERROR(T_HA[[#This Row],[Muros m3]]/T_HA[[#This Row],[Superficie m2]],)</f>
        <v>0.15022822409984707</v>
      </c>
      <c r="X46" s="57">
        <f>IFERROR(T_HA[[#This Row],[Muros Int m3]]/T_HA[[#This Row],[Superficie m2]],)</f>
        <v>0</v>
      </c>
      <c r="Y46" s="57">
        <f>IFERROR(T_HA[[#This Row],[Perimetrales m3]]/T_HA[[#This Row],[Superficie m2]],)</f>
        <v>0</v>
      </c>
      <c r="Z46" s="57">
        <f>IFERROR(T_HA[[#This Row],[Vigas m3]]/T_HA[[#This Row],[Superficie m2]],)</f>
        <v>2.3223057198906379E-2</v>
      </c>
      <c r="AA46" s="57">
        <f>IFERROR(T_HA[[#This Row],[Losas m3]]/T_HA[[#This Row],[Superficie m2]],)</f>
        <v>0.23161849889556527</v>
      </c>
      <c r="AB46" s="57">
        <f>IFERROR(T_HA[[#This Row],[Total m3]]/T_HA[[#This Row],[Superficie m2]],)</f>
        <v>0.25484155609447168</v>
      </c>
      <c r="AC46" s="6" t="s">
        <v>45</v>
      </c>
    </row>
    <row r="47" spans="1:29" s="6" customFormat="1" x14ac:dyDescent="0.25">
      <c r="A47" s="34">
        <v>18063</v>
      </c>
      <c r="B47" s="31" t="str" cm="1">
        <f t="array" ref="B47">INDEX(T_Info[],MATCH(T_HA[[#This Row],[Codigo]],T_Info[Codigo],0),COLUMN(T_Info[Proyecto]))</f>
        <v>Lyon BOX</v>
      </c>
      <c r="C47" s="30" t="str" cm="1">
        <f t="array" ref="C47">INDEX(T_Info[],MATCH(T_HA[[#This Row],[Codigo]],T_Info[Codigo],0),COLUMN(T_Info[T.S]))</f>
        <v>B</v>
      </c>
      <c r="D47" s="34" cm="1">
        <f t="array" ref="D47">INDEX(T_Info[],MATCH(T_HA[[#This Row],[Codigo]],T_Info[Codigo],0),COLUMN(T_Info[Z.S]))</f>
        <v>2</v>
      </c>
      <c r="E47" s="34" cm="1">
        <f t="array" ref="E47">INDEX(T_Info[],MATCH(T_HA[[#This Row],[Codigo]],T_Info[Codigo],0),COLUMN(T_Info[Pisos]))</f>
        <v>8</v>
      </c>
      <c r="F47" s="34" cm="1">
        <f t="array" ref="F47">INDEX(T_Info[],MATCH(T_HA[[#This Row],[Codigo]],T_Info[Codigo],0),COLUMN(T_Info[Subt.]))</f>
        <v>2</v>
      </c>
      <c r="G47" s="35" cm="1">
        <f t="array" ref="G47">INDEX(T_Info[],MATCH(T_HA[[#This Row],[Codigo]],T_Info[Codigo],0),COLUMN(T_Info[Superficie m2]))</f>
        <v>6906.02</v>
      </c>
      <c r="H47" s="30" t="str" cm="1">
        <f t="array" ref="H47">IF(INDEX(T_Info[],MATCH(T_HA[[#This Row],[Codigo]],T_Info[Codigo],0),COLUMN(T_Info[Postensado]))&lt;&gt;"",INDEX(T_Info[],MATCH(T_HA[[#This Row],[Codigo]],T_Info[Codigo],0),COLUMN(T_Info[Postensado])),"")</f>
        <v/>
      </c>
      <c r="I47" s="30" t="str" cm="1">
        <f t="array" ref="I47">IF(INDEX(T_Info[],MATCH(T_HA[[#This Row],[Codigo]],T_Info[Codigo],0),COLUMN(T_Info[Losa Fundación]))&lt;&gt;"",INDEX(T_Info[],MATCH(T_HA[[#This Row],[Codigo]],T_Info[Codigo],0),COLUMN(T_Info[Losa Fundación])),"")</f>
        <v/>
      </c>
      <c r="J47" s="32">
        <v>111.91000000000005</v>
      </c>
      <c r="K47" s="32"/>
      <c r="L47" s="32">
        <v>1036.5</v>
      </c>
      <c r="M47" s="32">
        <v>888.5</v>
      </c>
      <c r="N47" s="32">
        <v>148</v>
      </c>
      <c r="O47" s="32">
        <v>149.94999999999999</v>
      </c>
      <c r="P47" s="32"/>
      <c r="Q47" s="32"/>
      <c r="R47" s="32">
        <v>1135.7800000000002</v>
      </c>
      <c r="S47" s="32">
        <v>10.459999999999999</v>
      </c>
      <c r="T47" s="32"/>
      <c r="U47" s="32">
        <v>2444.6000000000004</v>
      </c>
      <c r="V47" s="57">
        <f>IFERROR(T_HA[[#This Row],[Fund m3]]/T_HA[[#This Row],[Superficie m2]],)</f>
        <v>1.6204702563850096E-2</v>
      </c>
      <c r="W47" s="57">
        <f>IFERROR(T_HA[[#This Row],[Muros m3]]/T_HA[[#This Row],[Superficie m2]],)</f>
        <v>0.1500864463178502</v>
      </c>
      <c r="X47" s="57">
        <f>IFERROR(T_HA[[#This Row],[Muros Int m3]]/T_HA[[#This Row],[Superficie m2]],)</f>
        <v>0.12865586835833084</v>
      </c>
      <c r="Y47" s="57">
        <f>IFERROR(T_HA[[#This Row],[Perimetrales m3]]/T_HA[[#This Row],[Superficie m2]],)</f>
        <v>2.1430577959519373E-2</v>
      </c>
      <c r="Z47" s="57">
        <f>IFERROR(T_HA[[#This Row],[Vigas m3]]/T_HA[[#This Row],[Superficie m2]],)</f>
        <v>2.1712940304256283E-2</v>
      </c>
      <c r="AA47" s="57">
        <f>IFERROR(T_HA[[#This Row],[Losas m3]]/T_HA[[#This Row],[Superficie m2]],)</f>
        <v>0.16446230969501974</v>
      </c>
      <c r="AB47" s="57">
        <f>IFERROR(T_HA[[#This Row],[Total m3]]/T_HA[[#This Row],[Superficie m2]],)</f>
        <v>0.35398101945838562</v>
      </c>
      <c r="AC47" s="6" t="s">
        <v>45</v>
      </c>
    </row>
    <row r="48" spans="1:29" s="6" customFormat="1" x14ac:dyDescent="0.25">
      <c r="A48" s="34">
        <v>18072</v>
      </c>
      <c r="B48" s="31" t="str" cm="1">
        <f t="array" ref="B48">INDEX(T_Info[],MATCH(T_HA[[#This Row],[Codigo]],T_Info[Codigo],0),COLUMN(T_Info[Proyecto]))</f>
        <v>Eliodoro</v>
      </c>
      <c r="C48" s="30" t="str" cm="1">
        <f t="array" ref="C48">INDEX(T_Info[],MATCH(T_HA[[#This Row],[Codigo]],T_Info[Codigo],0),COLUMN(T_Info[T.S]))</f>
        <v>B</v>
      </c>
      <c r="D48" s="34" cm="1">
        <f t="array" ref="D48">INDEX(T_Info[],MATCH(T_HA[[#This Row],[Codigo]],T_Info[Codigo],0),COLUMN(T_Info[Z.S]))</f>
        <v>2</v>
      </c>
      <c r="E48" s="34" cm="1">
        <f t="array" ref="E48">INDEX(T_Info[],MATCH(T_HA[[#This Row],[Codigo]],T_Info[Codigo],0),COLUMN(T_Info[Pisos]))</f>
        <v>12</v>
      </c>
      <c r="F48" s="34" cm="1">
        <f t="array" ref="F48">INDEX(T_Info[],MATCH(T_HA[[#This Row],[Codigo]],T_Info[Codigo],0),COLUMN(T_Info[Subt.]))</f>
        <v>3</v>
      </c>
      <c r="G48" s="35" cm="1">
        <f t="array" ref="G48">INDEX(T_Info[],MATCH(T_HA[[#This Row],[Codigo]],T_Info[Codigo],0),COLUMN(T_Info[Superficie m2]))</f>
        <v>17234.18</v>
      </c>
      <c r="H48" s="30" t="str" cm="1">
        <f t="array" ref="H48">IF(INDEX(T_Info[],MATCH(T_HA[[#This Row],[Codigo]],T_Info[Codigo],0),COLUMN(T_Info[Postensado]))&lt;&gt;"",INDEX(T_Info[],MATCH(T_HA[[#This Row],[Codigo]],T_Info[Codigo],0),COLUMN(T_Info[Postensado])),"")</f>
        <v/>
      </c>
      <c r="I48" s="30" t="str" cm="1">
        <f t="array" ref="I48">IF(INDEX(T_Info[],MATCH(T_HA[[#This Row],[Codigo]],T_Info[Codigo],0),COLUMN(T_Info[Losa Fundación]))&lt;&gt;"",INDEX(T_Info[],MATCH(T_HA[[#This Row],[Codigo]],T_Info[Codigo],0),COLUMN(T_Info[Losa Fundación])),"")</f>
        <v/>
      </c>
      <c r="J48" s="32">
        <v>251.97999999999982</v>
      </c>
      <c r="K48" s="32"/>
      <c r="L48" s="32">
        <v>2387.4</v>
      </c>
      <c r="M48" s="32">
        <v>1929.9</v>
      </c>
      <c r="N48" s="32">
        <v>457.5</v>
      </c>
      <c r="O48" s="32">
        <v>268.1500000000002</v>
      </c>
      <c r="P48" s="32"/>
      <c r="Q48" s="32"/>
      <c r="R48" s="32">
        <v>2731.6999999999985</v>
      </c>
      <c r="S48" s="32">
        <v>0</v>
      </c>
      <c r="T48" s="32"/>
      <c r="U48" s="32">
        <v>5639.2299999999987</v>
      </c>
      <c r="V48" s="57">
        <f>IFERROR(T_HA[[#This Row],[Fund m3]]/T_HA[[#This Row],[Superficie m2]],)</f>
        <v>1.4620945121845067E-2</v>
      </c>
      <c r="W48" s="57">
        <f>IFERROR(T_HA[[#This Row],[Muros m3]]/T_HA[[#This Row],[Superficie m2]],)</f>
        <v>0.13852704335222216</v>
      </c>
      <c r="X48" s="57">
        <f>IFERROR(T_HA[[#This Row],[Muros Int m3]]/T_HA[[#This Row],[Superficie m2]],)</f>
        <v>0.11198095876914364</v>
      </c>
      <c r="Y48" s="57">
        <f>IFERROR(T_HA[[#This Row],[Perimetrales m3]]/T_HA[[#This Row],[Superficie m2]],)</f>
        <v>2.654608458307851E-2</v>
      </c>
      <c r="Z48" s="57">
        <f>IFERROR(T_HA[[#This Row],[Vigas m3]]/T_HA[[#This Row],[Superficie m2]],)</f>
        <v>1.5559196898256848E-2</v>
      </c>
      <c r="AA48" s="57">
        <f>IFERROR(T_HA[[#This Row],[Losas m3]]/T_HA[[#This Row],[Superficie m2]],)</f>
        <v>0.1585047852581323</v>
      </c>
      <c r="AB48" s="57">
        <f>IFERROR(T_HA[[#This Row],[Total m3]]/T_HA[[#This Row],[Superficie m2]],)</f>
        <v>0.32721197063045637</v>
      </c>
      <c r="AC48" s="6" t="s">
        <v>45</v>
      </c>
    </row>
    <row r="49" spans="1:29" s="6" customFormat="1" x14ac:dyDescent="0.25">
      <c r="A49" s="34">
        <v>18081</v>
      </c>
      <c r="B49" s="31" t="str" cm="1">
        <f t="array" ref="B49">INDEX(T_Info[],MATCH(T_HA[[#This Row],[Codigo]],T_Info[Codigo],0),COLUMN(T_Info[Proyecto]))</f>
        <v>Villaseca (V0)</v>
      </c>
      <c r="C49" s="30" t="str" cm="1">
        <f t="array" ref="C49">INDEX(T_Info[],MATCH(T_HA[[#This Row],[Codigo]],T_Info[Codigo],0),COLUMN(T_Info[T.S]))</f>
        <v>B</v>
      </c>
      <c r="D49" s="34" cm="1">
        <f t="array" ref="D49">INDEX(T_Info[],MATCH(T_HA[[#This Row],[Codigo]],T_Info[Codigo],0),COLUMN(T_Info[Z.S]))</f>
        <v>2</v>
      </c>
      <c r="E49" s="34" cm="1">
        <f t="array" ref="E49">INDEX(T_Info[],MATCH(T_HA[[#This Row],[Codigo]],T_Info[Codigo],0),COLUMN(T_Info[Pisos]))</f>
        <v>7</v>
      </c>
      <c r="F49" s="34" cm="1">
        <f t="array" ref="F49">INDEX(T_Info[],MATCH(T_HA[[#This Row],[Codigo]],T_Info[Codigo],0),COLUMN(T_Info[Subt.]))</f>
        <v>2</v>
      </c>
      <c r="G49" s="35" cm="1">
        <f t="array" ref="G49">INDEX(T_Info[],MATCH(T_HA[[#This Row],[Codigo]],T_Info[Codigo],0),COLUMN(T_Info[Superficie m2]))</f>
        <v>12550.05</v>
      </c>
      <c r="H49" s="30" t="str" cm="1">
        <f t="array" ref="H49">IF(INDEX(T_Info[],MATCH(T_HA[[#This Row],[Codigo]],T_Info[Codigo],0),COLUMN(T_Info[Postensado]))&lt;&gt;"",INDEX(T_Info[],MATCH(T_HA[[#This Row],[Codigo]],T_Info[Codigo],0),COLUMN(T_Info[Postensado])),"")</f>
        <v/>
      </c>
      <c r="I49" s="30" t="str" cm="1">
        <f t="array" ref="I49">IF(INDEX(T_Info[],MATCH(T_HA[[#This Row],[Codigo]],T_Info[Codigo],0),COLUMN(T_Info[Losa Fundación]))&lt;&gt;"",INDEX(T_Info[],MATCH(T_HA[[#This Row],[Codigo]],T_Info[Codigo],0),COLUMN(T_Info[Losa Fundación])),"")</f>
        <v/>
      </c>
      <c r="J49" s="32">
        <v>224.68</v>
      </c>
      <c r="K49" s="32"/>
      <c r="L49" s="32">
        <v>1452.4</v>
      </c>
      <c r="M49" s="32">
        <v>1202.0999999999999</v>
      </c>
      <c r="N49" s="32">
        <v>250.2</v>
      </c>
      <c r="O49" s="32">
        <v>249.80999999999995</v>
      </c>
      <c r="P49" s="32"/>
      <c r="Q49" s="32"/>
      <c r="R49" s="32">
        <v>2027.8299999999992</v>
      </c>
      <c r="S49" s="32">
        <v>17.100000000000001</v>
      </c>
      <c r="T49" s="32"/>
      <c r="U49" s="32">
        <v>3971.7199999999989</v>
      </c>
      <c r="V49" s="57">
        <f>IFERROR(T_HA[[#This Row],[Fund m3]]/T_HA[[#This Row],[Superficie m2]],)</f>
        <v>1.7902717519053712E-2</v>
      </c>
      <c r="W49" s="57">
        <f>IFERROR(T_HA[[#This Row],[Muros m3]]/T_HA[[#This Row],[Superficie m2]],)</f>
        <v>0.11572862259512912</v>
      </c>
      <c r="X49" s="57">
        <f>IFERROR(T_HA[[#This Row],[Muros Int m3]]/T_HA[[#This Row],[Superficie m2]],)</f>
        <v>9.5784478946299018E-2</v>
      </c>
      <c r="Y49" s="57">
        <f>IFERROR(T_HA[[#This Row],[Perimetrales m3]]/T_HA[[#This Row],[Superficie m2]],)</f>
        <v>1.9936175553085446E-2</v>
      </c>
      <c r="Z49" s="57">
        <f>IFERROR(T_HA[[#This Row],[Vigas m3]]/T_HA[[#This Row],[Superficie m2]],)</f>
        <v>1.9905099979681352E-2</v>
      </c>
      <c r="AA49" s="57">
        <f>IFERROR(T_HA[[#This Row],[Losas m3]]/T_HA[[#This Row],[Superficie m2]],)</f>
        <v>0.16157943593850219</v>
      </c>
      <c r="AB49" s="57">
        <f>IFERROR(T_HA[[#This Row],[Total m3]]/T_HA[[#This Row],[Superficie m2]],)</f>
        <v>0.31647045230895487</v>
      </c>
      <c r="AC49" s="6" t="s">
        <v>45</v>
      </c>
    </row>
    <row r="50" spans="1:29" s="6" customFormat="1" x14ac:dyDescent="0.25">
      <c r="A50" s="34">
        <v>19006</v>
      </c>
      <c r="B50" s="31" t="str" cm="1">
        <f t="array" ref="B50">INDEX(T_Info[],MATCH(T_HA[[#This Row],[Codigo]],T_Info[Codigo],0),COLUMN(T_Info[Proyecto]))</f>
        <v>Eliecer Parada</v>
      </c>
      <c r="C50" s="30" t="str" cm="1">
        <f t="array" ref="C50">INDEX(T_Info[],MATCH(T_HA[[#This Row],[Codigo]],T_Info[Codigo],0),COLUMN(T_Info[T.S]))</f>
        <v>B</v>
      </c>
      <c r="D50" s="34" cm="1">
        <f t="array" ref="D50">INDEX(T_Info[],MATCH(T_HA[[#This Row],[Codigo]],T_Info[Codigo],0),COLUMN(T_Info[Z.S]))</f>
        <v>2</v>
      </c>
      <c r="E50" s="34" cm="1">
        <f t="array" ref="E50">INDEX(T_Info[],MATCH(T_HA[[#This Row],[Codigo]],T_Info[Codigo],0),COLUMN(T_Info[Pisos]))</f>
        <v>7</v>
      </c>
      <c r="F50" s="34" cm="1">
        <f t="array" ref="F50">INDEX(T_Info[],MATCH(T_HA[[#This Row],[Codigo]],T_Info[Codigo],0),COLUMN(T_Info[Subt.]))</f>
        <v>2</v>
      </c>
      <c r="G50" s="35" cm="1">
        <f t="array" ref="G50">INDEX(T_Info[],MATCH(T_HA[[#This Row],[Codigo]],T_Info[Codigo],0),COLUMN(T_Info[Superficie m2]))</f>
        <v>10043.77</v>
      </c>
      <c r="H50" s="30" t="str" cm="1">
        <f t="array" ref="H50">IF(INDEX(T_Info[],MATCH(T_HA[[#This Row],[Codigo]],T_Info[Codigo],0),COLUMN(T_Info[Postensado]))&lt;&gt;"",INDEX(T_Info[],MATCH(T_HA[[#This Row],[Codigo]],T_Info[Codigo],0),COLUMN(T_Info[Postensado])),"")</f>
        <v/>
      </c>
      <c r="I50" s="30" t="str" cm="1">
        <f t="array" ref="I50">IF(INDEX(T_Info[],MATCH(T_HA[[#This Row],[Codigo]],T_Info[Codigo],0),COLUMN(T_Info[Losa Fundación]))&lt;&gt;"",INDEX(T_Info[],MATCH(T_HA[[#This Row],[Codigo]],T_Info[Codigo],0),COLUMN(T_Info[Losa Fundación])),"")</f>
        <v/>
      </c>
      <c r="J50" s="32">
        <v>135.55000000000007</v>
      </c>
      <c r="K50" s="32"/>
      <c r="L50" s="32">
        <v>1068.5</v>
      </c>
      <c r="M50" s="32">
        <v>857.6</v>
      </c>
      <c r="N50" s="32">
        <v>210.9</v>
      </c>
      <c r="O50" s="32">
        <v>186.79000000000028</v>
      </c>
      <c r="P50" s="32"/>
      <c r="Q50" s="32"/>
      <c r="R50" s="32">
        <v>1713.3399999999992</v>
      </c>
      <c r="S50" s="32">
        <v>19.57</v>
      </c>
      <c r="T50" s="32"/>
      <c r="U50" s="32">
        <v>3123.7499999999995</v>
      </c>
      <c r="V50" s="57">
        <f>IFERROR(T_HA[[#This Row],[Fund m3]]/T_HA[[#This Row],[Superficie m2]],)</f>
        <v>1.3495928321735769E-2</v>
      </c>
      <c r="W50" s="57">
        <f>IFERROR(T_HA[[#This Row],[Muros m3]]/T_HA[[#This Row],[Superficie m2]],)</f>
        <v>0.1063843556752096</v>
      </c>
      <c r="X50" s="57">
        <f>IFERROR(T_HA[[#This Row],[Muros Int m3]]/T_HA[[#This Row],[Superficie m2]],)</f>
        <v>8.5386264321066691E-2</v>
      </c>
      <c r="Y50" s="57">
        <f>IFERROR(T_HA[[#This Row],[Perimetrales m3]]/T_HA[[#This Row],[Superficie m2]],)</f>
        <v>2.0998091354142916E-2</v>
      </c>
      <c r="Z50" s="57">
        <f>IFERROR(T_HA[[#This Row],[Vigas m3]]/T_HA[[#This Row],[Superficie m2]],)</f>
        <v>1.8597598312187581E-2</v>
      </c>
      <c r="AA50" s="57">
        <f>IFERROR(T_HA[[#This Row],[Losas m3]]/T_HA[[#This Row],[Superficie m2]],)</f>
        <v>0.17058733921625038</v>
      </c>
      <c r="AB50" s="57">
        <f>IFERROR(T_HA[[#This Row],[Total m3]]/T_HA[[#This Row],[Superficie m2]],)</f>
        <v>0.31101369306545246</v>
      </c>
      <c r="AC50" s="6" t="s">
        <v>45</v>
      </c>
    </row>
    <row r="51" spans="1:29" s="6" customFormat="1" x14ac:dyDescent="0.25">
      <c r="A51" s="34">
        <v>19009</v>
      </c>
      <c r="B51" s="31" t="str" cm="1">
        <f t="array" ref="B51">INDEX(T_Info[],MATCH(T_HA[[#This Row],[Codigo]],T_Info[Codigo],0),COLUMN(T_Info[Proyecto]))</f>
        <v>San Diego</v>
      </c>
      <c r="C51" s="30" t="str" cm="1">
        <f t="array" ref="C51">INDEX(T_Info[],MATCH(T_HA[[#This Row],[Codigo]],T_Info[Codigo],0),COLUMN(T_Info[T.S]))</f>
        <v>B</v>
      </c>
      <c r="D51" s="34" cm="1">
        <f t="array" ref="D51">INDEX(T_Info[],MATCH(T_HA[[#This Row],[Codigo]],T_Info[Codigo],0),COLUMN(T_Info[Z.S]))</f>
        <v>2</v>
      </c>
      <c r="E51" s="34" cm="1">
        <f t="array" ref="E51">INDEX(T_Info[],MATCH(T_HA[[#This Row],[Codigo]],T_Info[Codigo],0),COLUMN(T_Info[Pisos]))</f>
        <v>9</v>
      </c>
      <c r="F51" s="34" cm="1">
        <f t="array" ref="F51">INDEX(T_Info[],MATCH(T_HA[[#This Row],[Codigo]],T_Info[Codigo],0),COLUMN(T_Info[Subt.]))</f>
        <v>3</v>
      </c>
      <c r="G51" s="35" cm="1">
        <f t="array" ref="G51">INDEX(T_Info[],MATCH(T_HA[[#This Row],[Codigo]],T_Info[Codigo],0),COLUMN(T_Info[Superficie m2]))</f>
        <v>13376.77</v>
      </c>
      <c r="H51" s="30" t="str" cm="1">
        <f t="array" ref="H51">IF(INDEX(T_Info[],MATCH(T_HA[[#This Row],[Codigo]],T_Info[Codigo],0),COLUMN(T_Info[Postensado]))&lt;&gt;"",INDEX(T_Info[],MATCH(T_HA[[#This Row],[Codigo]],T_Info[Codigo],0),COLUMN(T_Info[Postensado])),"")</f>
        <v/>
      </c>
      <c r="I51" s="30" t="str" cm="1">
        <f t="array" ref="I51">IF(INDEX(T_Info[],MATCH(T_HA[[#This Row],[Codigo]],T_Info[Codigo],0),COLUMN(T_Info[Losa Fundación]))&lt;&gt;"",INDEX(T_Info[],MATCH(T_HA[[#This Row],[Codigo]],T_Info[Codigo],0),COLUMN(T_Info[Losa Fundación])),"")</f>
        <v/>
      </c>
      <c r="J51" s="32">
        <v>204.79999999999995</v>
      </c>
      <c r="K51" s="32"/>
      <c r="L51" s="32">
        <v>2068.1999999999998</v>
      </c>
      <c r="M51" s="32">
        <v>1737.6</v>
      </c>
      <c r="N51" s="32">
        <v>330.6</v>
      </c>
      <c r="O51" s="32">
        <v>206.48</v>
      </c>
      <c r="P51" s="32"/>
      <c r="Q51" s="32"/>
      <c r="R51" s="32">
        <v>1981.61</v>
      </c>
      <c r="S51" s="32">
        <v>0</v>
      </c>
      <c r="T51" s="32"/>
      <c r="U51" s="32">
        <v>4461.09</v>
      </c>
      <c r="V51" s="57">
        <f>IFERROR(T_HA[[#This Row],[Fund m3]]/T_HA[[#This Row],[Superficie m2]],)</f>
        <v>1.531012344534592E-2</v>
      </c>
      <c r="W51" s="57">
        <f>IFERROR(T_HA[[#This Row],[Muros m3]]/T_HA[[#This Row],[Superficie m2]],)</f>
        <v>0.15461131498859587</v>
      </c>
      <c r="X51" s="57">
        <f>IFERROR(T_HA[[#This Row],[Muros Int m3]]/T_HA[[#This Row],[Superficie m2]],)</f>
        <v>0.12989682860660681</v>
      </c>
      <c r="Y51" s="57">
        <f>IFERROR(T_HA[[#This Row],[Perimetrales m3]]/T_HA[[#This Row],[Superficie m2]],)</f>
        <v>2.4714486381989077E-2</v>
      </c>
      <c r="Z51" s="57">
        <f>IFERROR(T_HA[[#This Row],[Vigas m3]]/T_HA[[#This Row],[Superficie m2]],)</f>
        <v>1.5435714301733527E-2</v>
      </c>
      <c r="AA51" s="57">
        <f>IFERROR(T_HA[[#This Row],[Losas m3]]/T_HA[[#This Row],[Superficie m2]],)</f>
        <v>0.14813815293228483</v>
      </c>
      <c r="AB51" s="57">
        <f>IFERROR(T_HA[[#This Row],[Total m3]]/T_HA[[#This Row],[Superficie m2]],)</f>
        <v>0.33349530566796021</v>
      </c>
      <c r="AC51" s="6" t="s">
        <v>45</v>
      </c>
    </row>
    <row r="52" spans="1:29" s="6" customFormat="1" x14ac:dyDescent="0.25">
      <c r="A52" s="34">
        <v>19014</v>
      </c>
      <c r="B52" s="31" t="str" cm="1">
        <f t="array" ref="B52">INDEX(T_Info[],MATCH(T_HA[[#This Row],[Codigo]],T_Info[Codigo],0),COLUMN(T_Info[Proyecto]))</f>
        <v>San Eugenio</v>
      </c>
      <c r="C52" s="30" t="str" cm="1">
        <f t="array" ref="C52">INDEX(T_Info[],MATCH(T_HA[[#This Row],[Codigo]],T_Info[Codigo],0),COLUMN(T_Info[T.S]))</f>
        <v>B</v>
      </c>
      <c r="D52" s="34" cm="1">
        <f t="array" ref="D52">INDEX(T_Info[],MATCH(T_HA[[#This Row],[Codigo]],T_Info[Codigo],0),COLUMN(T_Info[Z.S]))</f>
        <v>2</v>
      </c>
      <c r="E52" s="34" cm="1">
        <f t="array" ref="E52">INDEX(T_Info[],MATCH(T_HA[[#This Row],[Codigo]],T_Info[Codigo],0),COLUMN(T_Info[Pisos]))</f>
        <v>21</v>
      </c>
      <c r="F52" s="34" cm="1">
        <f t="array" ref="F52">INDEX(T_Info[],MATCH(T_HA[[#This Row],[Codigo]],T_Info[Codigo],0),COLUMN(T_Info[Subt.]))</f>
        <v>2</v>
      </c>
      <c r="G52" s="35" cm="1">
        <f t="array" ref="G52">INDEX(T_Info[],MATCH(T_HA[[#This Row],[Codigo]],T_Info[Codigo],0),COLUMN(T_Info[Superficie m2]))</f>
        <v>20840.91</v>
      </c>
      <c r="H52" s="30" t="str" cm="1">
        <f t="array" ref="H52">IF(INDEX(T_Info[],MATCH(T_HA[[#This Row],[Codigo]],T_Info[Codigo],0),COLUMN(T_Info[Postensado]))&lt;&gt;"",INDEX(T_Info[],MATCH(T_HA[[#This Row],[Codigo]],T_Info[Codigo],0),COLUMN(T_Info[Postensado])),"")</f>
        <v/>
      </c>
      <c r="I52" s="30" t="str" cm="1">
        <f t="array" ref="I52">IF(INDEX(T_Info[],MATCH(T_HA[[#This Row],[Codigo]],T_Info[Codigo],0),COLUMN(T_Info[Losa Fundación]))&lt;&gt;"",INDEX(T_Info[],MATCH(T_HA[[#This Row],[Codigo]],T_Info[Codigo],0),COLUMN(T_Info[Losa Fundación])),"")</f>
        <v/>
      </c>
      <c r="J52" s="32">
        <v>291.98</v>
      </c>
      <c r="K52" s="32"/>
      <c r="L52" s="32">
        <v>2648.5</v>
      </c>
      <c r="M52" s="32">
        <v>2349.8000000000002</v>
      </c>
      <c r="N52" s="32">
        <v>298.7</v>
      </c>
      <c r="O52" s="32">
        <v>363.58000000000015</v>
      </c>
      <c r="P52" s="32"/>
      <c r="Q52" s="32"/>
      <c r="R52" s="32">
        <v>3201.2699999999991</v>
      </c>
      <c r="S52" s="32">
        <v>47.559999999999974</v>
      </c>
      <c r="T52" s="32"/>
      <c r="U52" s="32">
        <v>6552.89</v>
      </c>
      <c r="V52" s="57">
        <f>IFERROR(T_HA[[#This Row],[Fund m3]]/T_HA[[#This Row],[Superficie m2]],)</f>
        <v>1.4009944863252133E-2</v>
      </c>
      <c r="W52" s="57">
        <f>IFERROR(T_HA[[#This Row],[Muros m3]]/T_HA[[#This Row],[Superficie m2]],)</f>
        <v>0.12708178289719596</v>
      </c>
      <c r="X52" s="57">
        <f>IFERROR(T_HA[[#This Row],[Muros Int m3]]/T_HA[[#This Row],[Superficie m2]],)</f>
        <v>0.11274939529991733</v>
      </c>
      <c r="Y52" s="57">
        <f>IFERROR(T_HA[[#This Row],[Perimetrales m3]]/T_HA[[#This Row],[Superficie m2]],)</f>
        <v>1.4332387597278621E-2</v>
      </c>
      <c r="Z52" s="57">
        <f>IFERROR(T_HA[[#This Row],[Vigas m3]]/T_HA[[#This Row],[Superficie m2]],)</f>
        <v>1.7445495422224854E-2</v>
      </c>
      <c r="AA52" s="57">
        <f>IFERROR(T_HA[[#This Row],[Losas m3]]/T_HA[[#This Row],[Superficie m2]],)</f>
        <v>0.15360509689835997</v>
      </c>
      <c r="AB52" s="57">
        <f>IFERROR(T_HA[[#This Row],[Total m3]]/T_HA[[#This Row],[Superficie m2]],)</f>
        <v>0.31442437014506563</v>
      </c>
      <c r="AC52" s="6" t="s">
        <v>45</v>
      </c>
    </row>
    <row r="53" spans="1:29" s="6" customFormat="1" x14ac:dyDescent="0.25">
      <c r="A53" s="34">
        <v>19016</v>
      </c>
      <c r="B53" s="31" t="str" cm="1">
        <f t="array" ref="B53">INDEX(T_Info[],MATCH(T_HA[[#This Row],[Codigo]],T_Info[Codigo],0),COLUMN(T_Info[Proyecto]))</f>
        <v>Juan de Pineda (V0)</v>
      </c>
      <c r="C53" s="30" t="str" cm="1">
        <f t="array" ref="C53">INDEX(T_Info[],MATCH(T_HA[[#This Row],[Codigo]],T_Info[Codigo],0),COLUMN(T_Info[T.S]))</f>
        <v>C</v>
      </c>
      <c r="D53" s="34" cm="1">
        <f t="array" ref="D53">INDEX(T_Info[],MATCH(T_HA[[#This Row],[Codigo]],T_Info[Codigo],0),COLUMN(T_Info[Z.S]))</f>
        <v>2</v>
      </c>
      <c r="E53" s="34" cm="1">
        <f t="array" ref="E53">INDEX(T_Info[],MATCH(T_HA[[#This Row],[Codigo]],T_Info[Codigo],0),COLUMN(T_Info[Pisos]))</f>
        <v>8</v>
      </c>
      <c r="F53" s="34" cm="1">
        <f t="array" ref="F53">INDEX(T_Info[],MATCH(T_HA[[#This Row],[Codigo]],T_Info[Codigo],0),COLUMN(T_Info[Subt.]))</f>
        <v>1</v>
      </c>
      <c r="G53" s="35" cm="1">
        <f t="array" ref="G53">INDEX(T_Info[],MATCH(T_HA[[#This Row],[Codigo]],T_Info[Codigo],0),COLUMN(T_Info[Superficie m2]))</f>
        <v>7712.49</v>
      </c>
      <c r="H53" s="30" t="str" cm="1">
        <f t="array" ref="H53">IF(INDEX(T_Info[],MATCH(T_HA[[#This Row],[Codigo]],T_Info[Codigo],0),COLUMN(T_Info[Postensado]))&lt;&gt;"",INDEX(T_Info[],MATCH(T_HA[[#This Row],[Codigo]],T_Info[Codigo],0),COLUMN(T_Info[Postensado])),"")</f>
        <v/>
      </c>
      <c r="I53" s="30" t="str" cm="1">
        <f t="array" ref="I53">IF(INDEX(T_Info[],MATCH(T_HA[[#This Row],[Codigo]],T_Info[Codigo],0),COLUMN(T_Info[Losa Fundación]))&lt;&gt;"",INDEX(T_Info[],MATCH(T_HA[[#This Row],[Codigo]],T_Info[Codigo],0),COLUMN(T_Info[Losa Fundación])),"")</f>
        <v/>
      </c>
      <c r="J53" s="32">
        <v>206.82999999999984</v>
      </c>
      <c r="K53" s="32"/>
      <c r="L53" s="32">
        <v>896.2</v>
      </c>
      <c r="M53" s="32">
        <v>806.4</v>
      </c>
      <c r="N53" s="32">
        <v>89.8</v>
      </c>
      <c r="O53" s="32">
        <v>193.07000000000008</v>
      </c>
      <c r="P53" s="32"/>
      <c r="Q53" s="32"/>
      <c r="R53" s="32">
        <v>1112.56</v>
      </c>
      <c r="S53" s="32">
        <v>0</v>
      </c>
      <c r="T53" s="32"/>
      <c r="U53" s="32">
        <v>2408.66</v>
      </c>
      <c r="V53" s="57">
        <f>IFERROR(T_HA[[#This Row],[Fund m3]]/T_HA[[#This Row],[Superficie m2]],)</f>
        <v>2.6817538823389053E-2</v>
      </c>
      <c r="W53" s="57">
        <f>IFERROR(T_HA[[#This Row],[Muros m3]]/T_HA[[#This Row],[Superficie m2]],)</f>
        <v>0.11620112311328767</v>
      </c>
      <c r="X53" s="57">
        <f>IFERROR(T_HA[[#This Row],[Muros Int m3]]/T_HA[[#This Row],[Superficie m2]],)</f>
        <v>0.10455767203587946</v>
      </c>
      <c r="Y53" s="57">
        <f>IFERROR(T_HA[[#This Row],[Perimetrales m3]]/T_HA[[#This Row],[Superficie m2]],)</f>
        <v>1.1643451077408204E-2</v>
      </c>
      <c r="Z53" s="57">
        <f>IFERROR(T_HA[[#This Row],[Vigas m3]]/T_HA[[#This Row],[Superficie m2]],)</f>
        <v>2.5033419816427649E-2</v>
      </c>
      <c r="AA53" s="57">
        <f>IFERROR(T_HA[[#This Row],[Losas m3]]/T_HA[[#This Row],[Superficie m2]],)</f>
        <v>0.1442543199407714</v>
      </c>
      <c r="AB53" s="57">
        <f>IFERROR(T_HA[[#This Row],[Total m3]]/T_HA[[#This Row],[Superficie m2]],)</f>
        <v>0.31230640169387575</v>
      </c>
      <c r="AC53" s="6" t="s">
        <v>45</v>
      </c>
    </row>
    <row r="54" spans="1:29" x14ac:dyDescent="0.25">
      <c r="A54" s="34">
        <v>19028</v>
      </c>
      <c r="B54" s="31" t="str" cm="1">
        <f t="array" ref="B54">INDEX(T_Info[],MATCH(T_HA[[#This Row],[Codigo]],T_Info[Codigo],0),COLUMN(T_Info[Proyecto]))</f>
        <v>Edificio Franklin Torre A</v>
      </c>
      <c r="C54" s="30" t="str" cm="1">
        <f t="array" ref="C54">INDEX(T_Info[],MATCH(T_HA[[#This Row],[Codigo]],T_Info[Codigo],0),COLUMN(T_Info[T.S]))</f>
        <v>C</v>
      </c>
      <c r="D54" s="34" cm="1">
        <f t="array" ref="D54">INDEX(T_Info[],MATCH(T_HA[[#This Row],[Codigo]],T_Info[Codigo],0),COLUMN(T_Info[Z.S]))</f>
        <v>2</v>
      </c>
      <c r="E54" s="34" cm="1">
        <f t="array" ref="E54">INDEX(T_Info[],MATCH(T_HA[[#This Row],[Codigo]],T_Info[Codigo],0),COLUMN(T_Info[Pisos]))</f>
        <v>19</v>
      </c>
      <c r="F54" s="34" cm="1">
        <f t="array" ref="F54">INDEX(T_Info[],MATCH(T_HA[[#This Row],[Codigo]],T_Info[Codigo],0),COLUMN(T_Info[Subt.]))</f>
        <v>3</v>
      </c>
      <c r="G54" s="35" cm="1">
        <f t="array" ref="G54">INDEX(T_Info[],MATCH(T_HA[[#This Row],[Codigo]],T_Info[Codigo],0),COLUMN(T_Info[Superficie m2]))</f>
        <v>19464.099999999999</v>
      </c>
      <c r="H54" s="30" t="str" cm="1">
        <f t="array" ref="H54">IF(INDEX(T_Info[],MATCH(T_HA[[#This Row],[Codigo]],T_Info[Codigo],0),COLUMN(T_Info[Postensado]))&lt;&gt;"",INDEX(T_Info[],MATCH(T_HA[[#This Row],[Codigo]],T_Info[Codigo],0),COLUMN(T_Info[Postensado])),"")</f>
        <v/>
      </c>
      <c r="I54" s="30" t="str" cm="1">
        <f t="array" ref="I54">IF(INDEX(T_Info[],MATCH(T_HA[[#This Row],[Codigo]],T_Info[Codigo],0),COLUMN(T_Info[Losa Fundación]))&lt;&gt;"",INDEX(T_Info[],MATCH(T_HA[[#This Row],[Codigo]],T_Info[Codigo],0),COLUMN(T_Info[Losa Fundación])),"")</f>
        <v/>
      </c>
      <c r="J54" s="32">
        <v>522.29999999999995</v>
      </c>
      <c r="K54" s="32"/>
      <c r="L54" s="32">
        <v>2623.2</v>
      </c>
      <c r="M54" s="32">
        <v>2382.1999999999998</v>
      </c>
      <c r="N54" s="32">
        <v>241</v>
      </c>
      <c r="O54" s="32">
        <v>316</v>
      </c>
      <c r="P54" s="32"/>
      <c r="Q54" s="32"/>
      <c r="R54" s="32">
        <v>3065.5</v>
      </c>
      <c r="S54" s="32">
        <v>57.2</v>
      </c>
      <c r="T54" s="32"/>
      <c r="U54" s="32">
        <v>6584.2</v>
      </c>
      <c r="V54" s="57">
        <f>IFERROR(T_HA[[#This Row],[Fund m3]]/T_HA[[#This Row],[Superficie m2]],)</f>
        <v>2.6834017498882558E-2</v>
      </c>
      <c r="W54" s="57">
        <f>IFERROR(T_HA[[#This Row],[Muros m3]]/T_HA[[#This Row],[Superficie m2]],)</f>
        <v>0.13477119414717351</v>
      </c>
      <c r="X54" s="57">
        <f>IFERROR(T_HA[[#This Row],[Muros Int m3]]/T_HA[[#This Row],[Superficie m2]],)</f>
        <v>0.12238942463304237</v>
      </c>
      <c r="Y54" s="57">
        <f>IFERROR(T_HA[[#This Row],[Perimetrales m3]]/T_HA[[#This Row],[Superficie m2]],)</f>
        <v>1.2381769514131145E-2</v>
      </c>
      <c r="Z54" s="57">
        <f>IFERROR(T_HA[[#This Row],[Vigas m3]]/T_HA[[#This Row],[Superficie m2]],)</f>
        <v>1.6235017288238347E-2</v>
      </c>
      <c r="AA54" s="57">
        <f>IFERROR(T_HA[[#This Row],[Losas m3]]/T_HA[[#This Row],[Superficie m2]],)</f>
        <v>0.1574950806870084</v>
      </c>
      <c r="AB54" s="57">
        <f>IFERROR(T_HA[[#This Row],[Total m3]]/T_HA[[#This Row],[Superficie m2]],)</f>
        <v>0.33827405325702192</v>
      </c>
    </row>
    <row r="55" spans="1:29" x14ac:dyDescent="0.25">
      <c r="A55" s="34">
        <v>19051</v>
      </c>
      <c r="B55" s="31" t="str" cm="1">
        <f t="array" ref="B55">INDEX(T_Info[],MATCH(T_HA[[#This Row],[Codigo]],T_Info[Codigo],0),COLUMN(T_Info[Proyecto]))</f>
        <v>Santa Amalia</v>
      </c>
      <c r="C55" s="30" t="str" cm="1">
        <f t="array" ref="C55">INDEX(T_Info[],MATCH(T_HA[[#This Row],[Codigo]],T_Info[Codigo],0),COLUMN(T_Info[T.S]))</f>
        <v>B</v>
      </c>
      <c r="D55" s="34" cm="1">
        <f t="array" ref="D55">INDEX(T_Info[],MATCH(T_HA[[#This Row],[Codigo]],T_Info[Codigo],0),COLUMN(T_Info[Z.S]))</f>
        <v>2</v>
      </c>
      <c r="E55" s="34" cm="1">
        <f t="array" ref="E55">INDEX(T_Info[],MATCH(T_HA[[#This Row],[Codigo]],T_Info[Codigo],0),COLUMN(T_Info[Pisos]))</f>
        <v>5</v>
      </c>
      <c r="F55" s="34" cm="1">
        <f t="array" ref="F55">INDEX(T_Info[],MATCH(T_HA[[#This Row],[Codigo]],T_Info[Codigo],0),COLUMN(T_Info[Subt.]))</f>
        <v>1</v>
      </c>
      <c r="G55" s="35" cm="1">
        <f t="array" ref="G55">INDEX(T_Info[],MATCH(T_HA[[#This Row],[Codigo]],T_Info[Codigo],0),COLUMN(T_Info[Superficie m2]))</f>
        <v>5015.8999999999996</v>
      </c>
      <c r="H55" s="30" t="str" cm="1">
        <f t="array" ref="H55">IF(INDEX(T_Info[],MATCH(T_HA[[#This Row],[Codigo]],T_Info[Codigo],0),COLUMN(T_Info[Postensado]))&lt;&gt;"",INDEX(T_Info[],MATCH(T_HA[[#This Row],[Codigo]],T_Info[Codigo],0),COLUMN(T_Info[Postensado])),"")</f>
        <v/>
      </c>
      <c r="I55" s="30" t="str" cm="1">
        <f t="array" ref="I55">IF(INDEX(T_Info[],MATCH(T_HA[[#This Row],[Codigo]],T_Info[Codigo],0),COLUMN(T_Info[Losa Fundación]))&lt;&gt;"",INDEX(T_Info[],MATCH(T_HA[[#This Row],[Codigo]],T_Info[Codigo],0),COLUMN(T_Info[Losa Fundación])),"")</f>
        <v/>
      </c>
      <c r="J55" s="32">
        <v>111.6</v>
      </c>
      <c r="K55" s="32"/>
      <c r="L55" s="32">
        <v>562.70000000000005</v>
      </c>
      <c r="M55" s="32">
        <v>632.1</v>
      </c>
      <c r="N55" s="32">
        <v>129.9</v>
      </c>
      <c r="O55" s="32">
        <v>162.4</v>
      </c>
      <c r="P55" s="32"/>
      <c r="Q55" s="32"/>
      <c r="R55" s="32">
        <v>744</v>
      </c>
      <c r="S55" s="32">
        <v>8.8000000000000007</v>
      </c>
      <c r="T55" s="32"/>
      <c r="U55" s="32">
        <v>1788.8</v>
      </c>
      <c r="V55" s="57">
        <f>IFERROR(T_HA[[#This Row],[Fund m3]]/T_HA[[#This Row],[Superficie m2]],)</f>
        <v>2.2249247393289342E-2</v>
      </c>
      <c r="W55" s="57">
        <f>IFERROR(T_HA[[#This Row],[Muros m3]]/T_HA[[#This Row],[Superficie m2]],)</f>
        <v>0.11218325724197055</v>
      </c>
      <c r="X55" s="57">
        <f>IFERROR(T_HA[[#This Row],[Muros Int m3]]/T_HA[[#This Row],[Superficie m2]],)</f>
        <v>0.12601925875715228</v>
      </c>
      <c r="Y55" s="57">
        <f>IFERROR(T_HA[[#This Row],[Perimetrales m3]]/T_HA[[#This Row],[Superficie m2]],)</f>
        <v>2.589764548735023E-2</v>
      </c>
      <c r="Z55" s="57">
        <f>IFERROR(T_HA[[#This Row],[Vigas m3]]/T_HA[[#This Row],[Superficie m2]],)</f>
        <v>3.2377041009589512E-2</v>
      </c>
      <c r="AA55" s="57">
        <f>IFERROR(T_HA[[#This Row],[Losas m3]]/T_HA[[#This Row],[Superficie m2]],)</f>
        <v>0.14832831595526227</v>
      </c>
      <c r="AB55" s="57">
        <f>IFERROR(T_HA[[#This Row],[Total m3]]/T_HA[[#This Row],[Superficie m2]],)</f>
        <v>0.35662592954404992</v>
      </c>
    </row>
    <row r="56" spans="1:29" x14ac:dyDescent="0.25">
      <c r="A56" s="34">
        <v>19058</v>
      </c>
      <c r="B56" s="31" t="str" cm="1">
        <f t="array" ref="B56">INDEX(T_Info[],MATCH(T_HA[[#This Row],[Codigo]],T_Info[Codigo],0),COLUMN(T_Info[Proyecto]))</f>
        <v>Carmen Fariña</v>
      </c>
      <c r="C56" s="30" t="str" cm="1">
        <f t="array" ref="C56">INDEX(T_Info[],MATCH(T_HA[[#This Row],[Codigo]],T_Info[Codigo],0),COLUMN(T_Info[T.S]))</f>
        <v>B</v>
      </c>
      <c r="D56" s="34" cm="1">
        <f t="array" ref="D56">INDEX(T_Info[],MATCH(T_HA[[#This Row],[Codigo]],T_Info[Codigo],0),COLUMN(T_Info[Z.S]))</f>
        <v>2</v>
      </c>
      <c r="E56" s="34" cm="1">
        <f t="array" ref="E56">INDEX(T_Info[],MATCH(T_HA[[#This Row],[Codigo]],T_Info[Codigo],0),COLUMN(T_Info[Pisos]))</f>
        <v>7</v>
      </c>
      <c r="F56" s="34" cm="1">
        <f t="array" ref="F56">INDEX(T_Info[],MATCH(T_HA[[#This Row],[Codigo]],T_Info[Codigo],0),COLUMN(T_Info[Subt.]))</f>
        <v>2</v>
      </c>
      <c r="G56" s="35" cm="1">
        <f t="array" ref="G56">INDEX(T_Info[],MATCH(T_HA[[#This Row],[Codigo]],T_Info[Codigo],0),COLUMN(T_Info[Superficie m2]))</f>
        <v>10586.32</v>
      </c>
      <c r="H56" s="30" t="str" cm="1">
        <f t="array" ref="H56">IF(INDEX(T_Info[],MATCH(T_HA[[#This Row],[Codigo]],T_Info[Codigo],0),COLUMN(T_Info[Postensado]))&lt;&gt;"",INDEX(T_Info[],MATCH(T_HA[[#This Row],[Codigo]],T_Info[Codigo],0),COLUMN(T_Info[Postensado])),"")</f>
        <v/>
      </c>
      <c r="I56" s="30" t="str" cm="1">
        <f t="array" ref="I56">IF(INDEX(T_Info[],MATCH(T_HA[[#This Row],[Codigo]],T_Info[Codigo],0),COLUMN(T_Info[Losa Fundación]))&lt;&gt;"",INDEX(T_Info[],MATCH(T_HA[[#This Row],[Codigo]],T_Info[Codigo],0),COLUMN(T_Info[Losa Fundación])),"")</f>
        <v/>
      </c>
      <c r="J56" s="32">
        <v>195.6</v>
      </c>
      <c r="K56" s="32"/>
      <c r="L56" s="32">
        <v>1513</v>
      </c>
      <c r="M56" s="32">
        <v>1267.2</v>
      </c>
      <c r="N56" s="32">
        <v>245.8</v>
      </c>
      <c r="O56" s="32">
        <v>229.4</v>
      </c>
      <c r="P56" s="32"/>
      <c r="Q56" s="32"/>
      <c r="R56" s="32">
        <v>1782</v>
      </c>
      <c r="S56" s="32">
        <v>0</v>
      </c>
      <c r="T56" s="32"/>
      <c r="U56" s="32">
        <v>3720</v>
      </c>
      <c r="V56" s="57">
        <f>IFERROR(T_HA[[#This Row],[Fund m3]]/T_HA[[#This Row],[Superficie m2]],)</f>
        <v>1.8476675558645496E-2</v>
      </c>
      <c r="W56" s="57">
        <f>IFERROR(T_HA[[#This Row],[Muros m3]]/T_HA[[#This Row],[Superficie m2]],)</f>
        <v>0.14292029713819346</v>
      </c>
      <c r="X56" s="57">
        <f>IFERROR(T_HA[[#This Row],[Muros Int m3]]/T_HA[[#This Row],[Superficie m2]],)</f>
        <v>0.11970165269895489</v>
      </c>
      <c r="Y56" s="57">
        <f>IFERROR(T_HA[[#This Row],[Perimetrales m3]]/T_HA[[#This Row],[Superficie m2]],)</f>
        <v>2.3218644439238566E-2</v>
      </c>
      <c r="Z56" s="57">
        <f>IFERROR(T_HA[[#This Row],[Vigas m3]]/T_HA[[#This Row],[Superficie m2]],)</f>
        <v>2.1669475322869516E-2</v>
      </c>
      <c r="AA56" s="57">
        <f>IFERROR(T_HA[[#This Row],[Losas m3]]/T_HA[[#This Row],[Superficie m2]],)</f>
        <v>0.16833044910790529</v>
      </c>
      <c r="AB56" s="57">
        <f>IFERROR(T_HA[[#This Row],[Total m3]]/T_HA[[#This Row],[Superficie m2]],)</f>
        <v>0.35139689712761374</v>
      </c>
    </row>
    <row r="57" spans="1:29" x14ac:dyDescent="0.25">
      <c r="A57" s="34">
        <v>19068</v>
      </c>
      <c r="B57" s="31" t="str" cm="1">
        <f t="array" ref="B57">INDEX(T_Info[],MATCH(T_HA[[#This Row],[Codigo]],T_Info[Codigo],0),COLUMN(T_Info[Proyecto]))</f>
        <v>Domingo Faustino S.</v>
      </c>
      <c r="C57" s="30" t="str" cm="1">
        <f t="array" ref="C57">INDEX(T_Info[],MATCH(T_HA[[#This Row],[Codigo]],T_Info[Codigo],0),COLUMN(T_Info[T.S]))</f>
        <v>B</v>
      </c>
      <c r="D57" s="34" cm="1">
        <f t="array" ref="D57">INDEX(T_Info[],MATCH(T_HA[[#This Row],[Codigo]],T_Info[Codigo],0),COLUMN(T_Info[Z.S]))</f>
        <v>2</v>
      </c>
      <c r="E57" s="34" cm="1">
        <f t="array" ref="E57">INDEX(T_Info[],MATCH(T_HA[[#This Row],[Codigo]],T_Info[Codigo],0),COLUMN(T_Info[Pisos]))</f>
        <v>15</v>
      </c>
      <c r="F57" s="34" cm="1">
        <f t="array" ref="F57">INDEX(T_Info[],MATCH(T_HA[[#This Row],[Codigo]],T_Info[Codigo],0),COLUMN(T_Info[Subt.]))</f>
        <v>4</v>
      </c>
      <c r="G57" s="35" cm="1">
        <f t="array" ref="G57">INDEX(T_Info[],MATCH(T_HA[[#This Row],[Codigo]],T_Info[Codigo],0),COLUMN(T_Info[Superficie m2]))</f>
        <v>11699.02</v>
      </c>
      <c r="H57" s="30" t="str" cm="1">
        <f t="array" ref="H57">IF(INDEX(T_Info[],MATCH(T_HA[[#This Row],[Codigo]],T_Info[Codigo],0),COLUMN(T_Info[Postensado]))&lt;&gt;"",INDEX(T_Info[],MATCH(T_HA[[#This Row],[Codigo]],T_Info[Codigo],0),COLUMN(T_Info[Postensado])),"")</f>
        <v/>
      </c>
      <c r="I57" s="30" t="str" cm="1">
        <f t="array" ref="I57">IF(INDEX(T_Info[],MATCH(T_HA[[#This Row],[Codigo]],T_Info[Codigo],0),COLUMN(T_Info[Losa Fundación]))&lt;&gt;"",INDEX(T_Info[],MATCH(T_HA[[#This Row],[Codigo]],T_Info[Codigo],0),COLUMN(T_Info[Losa Fundación])),"")</f>
        <v/>
      </c>
      <c r="J57" s="32">
        <v>182.8</v>
      </c>
      <c r="K57" s="32"/>
      <c r="L57" s="32">
        <v>1901.7</v>
      </c>
      <c r="M57" s="32">
        <v>1432.4</v>
      </c>
      <c r="N57" s="32">
        <v>469.2</v>
      </c>
      <c r="O57" s="32">
        <v>105</v>
      </c>
      <c r="P57" s="32"/>
      <c r="Q57" s="32"/>
      <c r="R57" s="32">
        <v>1758.3</v>
      </c>
      <c r="S57" s="32">
        <v>60.2</v>
      </c>
      <c r="T57" s="32"/>
      <c r="U57" s="32">
        <v>4007.8999999999996</v>
      </c>
      <c r="V57" s="57">
        <f>IFERROR(T_HA[[#This Row],[Fund m3]]/T_HA[[#This Row],[Superficie m2]],)</f>
        <v>1.5625240404751852E-2</v>
      </c>
      <c r="W57" s="57">
        <f>IFERROR(T_HA[[#This Row],[Muros m3]]/T_HA[[#This Row],[Superficie m2]],)</f>
        <v>0.16255207701157875</v>
      </c>
      <c r="X57" s="57">
        <f>IFERROR(T_HA[[#This Row],[Muros Int m3]]/T_HA[[#This Row],[Superficie m2]],)</f>
        <v>0.12243760588493738</v>
      </c>
      <c r="Y57" s="57">
        <f>IFERROR(T_HA[[#This Row],[Perimetrales m3]]/T_HA[[#This Row],[Superficie m2]],)</f>
        <v>4.0105923402131115E-2</v>
      </c>
      <c r="Z57" s="57">
        <f>IFERROR(T_HA[[#This Row],[Vigas m3]]/T_HA[[#This Row],[Superficie m2]],)</f>
        <v>8.9751107357710306E-3</v>
      </c>
      <c r="AA57" s="57">
        <f>IFERROR(T_HA[[#This Row],[Losas m3]]/T_HA[[#This Row],[Superficie m2]],)</f>
        <v>0.15029464006386858</v>
      </c>
      <c r="AB57" s="57">
        <f>IFERROR(T_HA[[#This Row],[Total m3]]/T_HA[[#This Row],[Superficie m2]],)</f>
        <v>0.34258425064663534</v>
      </c>
    </row>
    <row r="58" spans="1:29" x14ac:dyDescent="0.25">
      <c r="A58" s="34">
        <v>19078</v>
      </c>
      <c r="B58" s="31" t="str" cm="1">
        <f t="array" ref="B58">INDEX(T_Info[],MATCH(T_HA[[#This Row],[Codigo]],T_Info[Codigo],0),COLUMN(T_Info[Proyecto]))</f>
        <v>Las Lilas Habitacional</v>
      </c>
      <c r="C58" s="30" t="str" cm="1">
        <f t="array" ref="C58">INDEX(T_Info[],MATCH(T_HA[[#This Row],[Codigo]],T_Info[Codigo],0),COLUMN(T_Info[T.S]))</f>
        <v>B</v>
      </c>
      <c r="D58" s="34" cm="1">
        <f t="array" ref="D58">INDEX(T_Info[],MATCH(T_HA[[#This Row],[Codigo]],T_Info[Codigo],0),COLUMN(T_Info[Z.S]))</f>
        <v>2</v>
      </c>
      <c r="E58" s="34" cm="1">
        <f t="array" ref="E58">INDEX(T_Info[],MATCH(T_HA[[#This Row],[Codigo]],T_Info[Codigo],0),COLUMN(T_Info[Pisos]))</f>
        <v>12</v>
      </c>
      <c r="F58" s="34" cm="1">
        <f t="array" ref="F58">INDEX(T_Info[],MATCH(T_HA[[#This Row],[Codigo]],T_Info[Codigo],0),COLUMN(T_Info[Subt.]))</f>
        <v>2</v>
      </c>
      <c r="G58" s="35" cm="1">
        <f t="array" ref="G58">INDEX(T_Info[],MATCH(T_HA[[#This Row],[Codigo]],T_Info[Codigo],0),COLUMN(T_Info[Superficie m2]))</f>
        <v>21858</v>
      </c>
      <c r="H58" s="30" t="str" cm="1">
        <f t="array" ref="H58">IF(INDEX(T_Info[],MATCH(T_HA[[#This Row],[Codigo]],T_Info[Codigo],0),COLUMN(T_Info[Postensado]))&lt;&gt;"",INDEX(T_Info[],MATCH(T_HA[[#This Row],[Codigo]],T_Info[Codigo],0),COLUMN(T_Info[Postensado])),"")</f>
        <v/>
      </c>
      <c r="I58" s="30" t="str" cm="1">
        <f t="array" ref="I58">IF(INDEX(T_Info[],MATCH(T_HA[[#This Row],[Codigo]],T_Info[Codigo],0),COLUMN(T_Info[Losa Fundación]))&lt;&gt;"",INDEX(T_Info[],MATCH(T_HA[[#This Row],[Codigo]],T_Info[Codigo],0),COLUMN(T_Info[Losa Fundación])),"")</f>
        <v/>
      </c>
      <c r="J58" s="32">
        <v>495.2</v>
      </c>
      <c r="K58" s="32"/>
      <c r="L58" s="32">
        <v>3051.9</v>
      </c>
      <c r="M58" s="32">
        <v>2693.3</v>
      </c>
      <c r="N58" s="32">
        <v>358.6</v>
      </c>
      <c r="O58" s="32">
        <v>293.8</v>
      </c>
      <c r="P58" s="32"/>
      <c r="Q58" s="32"/>
      <c r="R58" s="32">
        <v>3452.5</v>
      </c>
      <c r="S58" s="32">
        <v>36.6</v>
      </c>
      <c r="T58" s="32"/>
      <c r="U58" s="32">
        <v>7330</v>
      </c>
      <c r="V58" s="57">
        <f>IFERROR(T_HA[[#This Row],[Fund m3]]/T_HA[[#This Row],[Superficie m2]],)</f>
        <v>2.2655320706377526E-2</v>
      </c>
      <c r="W58" s="57">
        <f>IFERROR(T_HA[[#This Row],[Muros m3]]/T_HA[[#This Row],[Superficie m2]],)</f>
        <v>0.13962393631622289</v>
      </c>
      <c r="X58" s="57">
        <f>IFERROR(T_HA[[#This Row],[Muros Int m3]]/T_HA[[#This Row],[Superficie m2]],)</f>
        <v>0.12321804373684693</v>
      </c>
      <c r="Y58" s="57">
        <f>IFERROR(T_HA[[#This Row],[Perimetrales m3]]/T_HA[[#This Row],[Superficie m2]],)</f>
        <v>1.6405892579375973E-2</v>
      </c>
      <c r="Z58" s="57">
        <f>IFERROR(T_HA[[#This Row],[Vigas m3]]/T_HA[[#This Row],[Superficie m2]],)</f>
        <v>1.3441302955439657E-2</v>
      </c>
      <c r="AA58" s="57">
        <f>IFERROR(T_HA[[#This Row],[Losas m3]]/T_HA[[#This Row],[Superficie m2]],)</f>
        <v>0.15795132217037242</v>
      </c>
      <c r="AB58" s="57">
        <f>IFERROR(T_HA[[#This Row],[Total m3]]/T_HA[[#This Row],[Superficie m2]],)</f>
        <v>0.33534632628785799</v>
      </c>
    </row>
    <row r="59" spans="1:29" x14ac:dyDescent="0.25">
      <c r="A59" s="34">
        <v>19079</v>
      </c>
      <c r="B59" s="31" t="str" cm="1">
        <f t="array" ref="B59">INDEX(T_Info[],MATCH(T_HA[[#This Row],[Codigo]],T_Info[Codigo],0),COLUMN(T_Info[Proyecto]))</f>
        <v>Las Lilas Oficinas</v>
      </c>
      <c r="C59" s="30" t="str" cm="1">
        <f t="array" ref="C59">INDEX(T_Info[],MATCH(T_HA[[#This Row],[Codigo]],T_Info[Codigo],0),COLUMN(T_Info[T.S]))</f>
        <v>B</v>
      </c>
      <c r="D59" s="34" cm="1">
        <f t="array" ref="D59">INDEX(T_Info[],MATCH(T_HA[[#This Row],[Codigo]],T_Info[Codigo],0),COLUMN(T_Info[Z.S]))</f>
        <v>2</v>
      </c>
      <c r="E59" s="34" cm="1">
        <f t="array" ref="E59">INDEX(T_Info[],MATCH(T_HA[[#This Row],[Codigo]],T_Info[Codigo],0),COLUMN(T_Info[Pisos]))</f>
        <v>10</v>
      </c>
      <c r="F59" s="34" cm="1">
        <f t="array" ref="F59">INDEX(T_Info[],MATCH(T_HA[[#This Row],[Codigo]],T_Info[Codigo],0),COLUMN(T_Info[Subt.]))</f>
        <v>3</v>
      </c>
      <c r="G59" s="35" cm="1">
        <f t="array" ref="G59">INDEX(T_Info[],MATCH(T_HA[[#This Row],[Codigo]],T_Info[Codigo],0),COLUMN(T_Info[Superficie m2]))</f>
        <v>12291.44</v>
      </c>
      <c r="H59" s="30" t="str" cm="1">
        <f t="array" ref="H59">IF(INDEX(T_Info[],MATCH(T_HA[[#This Row],[Codigo]],T_Info[Codigo],0),COLUMN(T_Info[Postensado]))&lt;&gt;"",INDEX(T_Info[],MATCH(T_HA[[#This Row],[Codigo]],T_Info[Codigo],0),COLUMN(T_Info[Postensado])),"")</f>
        <v/>
      </c>
      <c r="I59" s="30" t="str" cm="1">
        <f t="array" ref="I59">IF(INDEX(T_Info[],MATCH(T_HA[[#This Row],[Codigo]],T_Info[Codigo],0),COLUMN(T_Info[Losa Fundación]))&lt;&gt;"",INDEX(T_Info[],MATCH(T_HA[[#This Row],[Codigo]],T_Info[Codigo],0),COLUMN(T_Info[Losa Fundación])),"")</f>
        <v/>
      </c>
      <c r="J59" s="32">
        <v>451.9</v>
      </c>
      <c r="K59" s="32"/>
      <c r="L59" s="32">
        <v>1163.7</v>
      </c>
      <c r="M59" s="32">
        <v>871.04</v>
      </c>
      <c r="N59" s="32">
        <v>292.66000000000003</v>
      </c>
      <c r="O59" s="32">
        <v>272.01</v>
      </c>
      <c r="P59" s="32"/>
      <c r="Q59" s="32"/>
      <c r="R59" s="32">
        <v>2483.1999999999998</v>
      </c>
      <c r="S59" s="32">
        <v>48.3</v>
      </c>
      <c r="T59" s="32"/>
      <c r="U59" s="32">
        <v>4419.1099999999997</v>
      </c>
      <c r="V59" s="57">
        <f>IFERROR(T_HA[[#This Row],[Fund m3]]/T_HA[[#This Row],[Superficie m2]],)</f>
        <v>3.6765423742051377E-2</v>
      </c>
      <c r="W59" s="57">
        <f>IFERROR(T_HA[[#This Row],[Muros m3]]/T_HA[[#This Row],[Superficie m2]],)</f>
        <v>9.4675644188150457E-2</v>
      </c>
      <c r="X59" s="57">
        <f>IFERROR(T_HA[[#This Row],[Muros Int m3]]/T_HA[[#This Row],[Superficie m2]],)</f>
        <v>7.0865577995743376E-2</v>
      </c>
      <c r="Y59" s="57">
        <f>IFERROR(T_HA[[#This Row],[Perimetrales m3]]/T_HA[[#This Row],[Superficie m2]],)</f>
        <v>2.3810066192407074E-2</v>
      </c>
      <c r="Z59" s="57">
        <f>IFERROR(T_HA[[#This Row],[Vigas m3]]/T_HA[[#This Row],[Superficie m2]],)</f>
        <v>2.2130035211496781E-2</v>
      </c>
      <c r="AA59" s="57">
        <f>IFERROR(T_HA[[#This Row],[Losas m3]]/T_HA[[#This Row],[Superficie m2]],)</f>
        <v>0.20202677635818095</v>
      </c>
      <c r="AB59" s="57">
        <f>IFERROR(T_HA[[#This Row],[Total m3]]/T_HA[[#This Row],[Superficie m2]],)</f>
        <v>0.35952744348912735</v>
      </c>
    </row>
    <row r="60" spans="1:29" x14ac:dyDescent="0.25">
      <c r="A60" s="34">
        <v>19080</v>
      </c>
      <c r="B60" s="31" t="str" cm="1">
        <f t="array" ref="B60">INDEX(T_Info[],MATCH(T_HA[[#This Row],[Codigo]],T_Info[Codigo],0),COLUMN(T_Info[Proyecto]))</f>
        <v>Vista Costanera Torre A</v>
      </c>
      <c r="C60" s="30" t="str" cm="1">
        <f t="array" ref="C60">INDEX(T_Info[],MATCH(T_HA[[#This Row],[Codigo]],T_Info[Codigo],0),COLUMN(T_Info[T.S]))</f>
        <v>B</v>
      </c>
      <c r="D60" s="34" cm="1">
        <f t="array" ref="D60">INDEX(T_Info[],MATCH(T_HA[[#This Row],[Codigo]],T_Info[Codigo],0),COLUMN(T_Info[Z.S]))</f>
        <v>2</v>
      </c>
      <c r="E60" s="34" cm="1">
        <f t="array" ref="E60">INDEX(T_Info[],MATCH(T_HA[[#This Row],[Codigo]],T_Info[Codigo],0),COLUMN(T_Info[Pisos]))</f>
        <v>10</v>
      </c>
      <c r="F60" s="34" cm="1">
        <f t="array" ref="F60">INDEX(T_Info[],MATCH(T_HA[[#This Row],[Codigo]],T_Info[Codigo],0),COLUMN(T_Info[Subt.]))</f>
        <v>1</v>
      </c>
      <c r="G60" s="35" cm="1">
        <f t="array" ref="G60">INDEX(T_Info[],MATCH(T_HA[[#This Row],[Codigo]],T_Info[Codigo],0),COLUMN(T_Info[Superficie m2]))</f>
        <v>9977.68</v>
      </c>
      <c r="H60" s="30" t="str" cm="1">
        <f t="array" ref="H60">IF(INDEX(T_Info[],MATCH(T_HA[[#This Row],[Codigo]],T_Info[Codigo],0),COLUMN(T_Info[Postensado]))&lt;&gt;"",INDEX(T_Info[],MATCH(T_HA[[#This Row],[Codigo]],T_Info[Codigo],0),COLUMN(T_Info[Postensado])),"")</f>
        <v/>
      </c>
      <c r="I60" s="30" t="str" cm="1">
        <f t="array" ref="I60">IF(INDEX(T_Info[],MATCH(T_HA[[#This Row],[Codigo]],T_Info[Codigo],0),COLUMN(T_Info[Losa Fundación]))&lt;&gt;"",INDEX(T_Info[],MATCH(T_HA[[#This Row],[Codigo]],T_Info[Codigo],0),COLUMN(T_Info[Losa Fundación])),"")</f>
        <v/>
      </c>
      <c r="J60" s="32">
        <v>193.2</v>
      </c>
      <c r="K60" s="32"/>
      <c r="L60" s="32">
        <v>1056.0999999999999</v>
      </c>
      <c r="M60" s="32">
        <v>912.7</v>
      </c>
      <c r="N60" s="32">
        <v>143.4</v>
      </c>
      <c r="O60" s="32">
        <v>121.6</v>
      </c>
      <c r="P60" s="32"/>
      <c r="Q60" s="32"/>
      <c r="R60" s="32">
        <v>1587.8</v>
      </c>
      <c r="S60" s="32">
        <v>0</v>
      </c>
      <c r="T60" s="32"/>
      <c r="U60" s="32">
        <v>2958.7</v>
      </c>
      <c r="V60" s="57">
        <f>IFERROR(T_HA[[#This Row],[Fund m3]]/T_HA[[#This Row],[Superficie m2]],)</f>
        <v>1.9363218704147655E-2</v>
      </c>
      <c r="W60" s="57">
        <f>IFERROR(T_HA[[#This Row],[Muros m3]]/T_HA[[#This Row],[Superficie m2]],)</f>
        <v>0.10584624882738271</v>
      </c>
      <c r="X60" s="57">
        <f>IFERROR(T_HA[[#This Row],[Muros Int m3]]/T_HA[[#This Row],[Superficie m2]],)</f>
        <v>9.1474170348217226E-2</v>
      </c>
      <c r="Y60" s="57">
        <f>IFERROR(T_HA[[#This Row],[Perimetrales m3]]/T_HA[[#This Row],[Superficie m2]],)</f>
        <v>1.4372078479165497E-2</v>
      </c>
      <c r="Z60" s="57">
        <f>IFERROR(T_HA[[#This Row],[Vigas m3]]/T_HA[[#This Row],[Superficie m2]],)</f>
        <v>1.2187201834494591E-2</v>
      </c>
      <c r="AA60" s="57">
        <f>IFERROR(T_HA[[#This Row],[Losas m3]]/T_HA[[#This Row],[Superficie m2]],)</f>
        <v>0.15913518974350749</v>
      </c>
      <c r="AB60" s="57">
        <f>IFERROR(T_HA[[#This Row],[Total m3]]/T_HA[[#This Row],[Superficie m2]],)</f>
        <v>0.29653185910953245</v>
      </c>
    </row>
    <row r="61" spans="1:29" x14ac:dyDescent="0.25">
      <c r="A61" s="34">
        <v>20011</v>
      </c>
      <c r="B61" s="31" t="str" cm="1">
        <f t="array" ref="B61">INDEX(T_Info[],MATCH(T_HA[[#This Row],[Codigo]],T_Info[Codigo],0),COLUMN(T_Info[Proyecto]))</f>
        <v>Padre Le Paige Torre B</v>
      </c>
      <c r="C61" s="30" t="str" cm="1">
        <f t="array" ref="C61">INDEX(T_Info[],MATCH(T_HA[[#This Row],[Codigo]],T_Info[Codigo],0),COLUMN(T_Info[T.S]))</f>
        <v>C</v>
      </c>
      <c r="D61" s="34" cm="1">
        <f t="array" ref="D61">INDEX(T_Info[],MATCH(T_HA[[#This Row],[Codigo]],T_Info[Codigo],0),COLUMN(T_Info[Z.S]))</f>
        <v>2</v>
      </c>
      <c r="E61" s="34" cm="1">
        <f t="array" ref="E61">INDEX(T_Info[],MATCH(T_HA[[#This Row],[Codigo]],T_Info[Codigo],0),COLUMN(T_Info[Pisos]))</f>
        <v>11</v>
      </c>
      <c r="F61" s="34" cm="1">
        <f t="array" ref="F61">INDEX(T_Info[],MATCH(T_HA[[#This Row],[Codigo]],T_Info[Codigo],0),COLUMN(T_Info[Subt.]))</f>
        <v>1</v>
      </c>
      <c r="G61" s="35" cm="1">
        <f t="array" ref="G61">INDEX(T_Info[],MATCH(T_HA[[#This Row],[Codigo]],T_Info[Codigo],0),COLUMN(T_Info[Superficie m2]))</f>
        <v>15217.59</v>
      </c>
      <c r="H61" s="30" t="str" cm="1">
        <f t="array" ref="H61">IF(INDEX(T_Info[],MATCH(T_HA[[#This Row],[Codigo]],T_Info[Codigo],0),COLUMN(T_Info[Postensado]))&lt;&gt;"",INDEX(T_Info[],MATCH(T_HA[[#This Row],[Codigo]],T_Info[Codigo],0),COLUMN(T_Info[Postensado])),"")</f>
        <v/>
      </c>
      <c r="I61" s="30" t="str" cm="1">
        <f t="array" ref="I61">IF(INDEX(T_Info[],MATCH(T_HA[[#This Row],[Codigo]],T_Info[Codigo],0),COLUMN(T_Info[Losa Fundación]))&lt;&gt;"",INDEX(T_Info[],MATCH(T_HA[[#This Row],[Codigo]],T_Info[Codigo],0),COLUMN(T_Info[Losa Fundación])),"")</f>
        <v>Si</v>
      </c>
      <c r="J61" s="32">
        <v>933.7</v>
      </c>
      <c r="K61" s="32"/>
      <c r="L61" s="32">
        <v>1815.3</v>
      </c>
      <c r="M61" s="32">
        <v>1580.9</v>
      </c>
      <c r="N61" s="32">
        <v>234.5</v>
      </c>
      <c r="O61" s="32">
        <v>202</v>
      </c>
      <c r="P61" s="32"/>
      <c r="Q61" s="32"/>
      <c r="R61" s="32">
        <v>2559.9</v>
      </c>
      <c r="S61" s="32">
        <v>35.299999999999997</v>
      </c>
      <c r="T61" s="32"/>
      <c r="U61" s="32">
        <v>5546.3</v>
      </c>
      <c r="V61" s="57">
        <f>IFERROR(T_HA[[#This Row],[Fund m3]]/T_HA[[#This Row],[Superficie m2]],)</f>
        <v>6.1356627429179002E-2</v>
      </c>
      <c r="W61" s="57">
        <f>IFERROR(T_HA[[#This Row],[Muros m3]]/T_HA[[#This Row],[Superficie m2]],)</f>
        <v>0.11928958527598653</v>
      </c>
      <c r="X61" s="57">
        <f>IFERROR(T_HA[[#This Row],[Muros Int m3]]/T_HA[[#This Row],[Superficie m2]],)</f>
        <v>0.10388635782669924</v>
      </c>
      <c r="Y61" s="57">
        <f>IFERROR(T_HA[[#This Row],[Perimetrales m3]]/T_HA[[#This Row],[Superficie m2]],)</f>
        <v>1.5409798792055772E-2</v>
      </c>
      <c r="Z61" s="57">
        <f>IFERROR(T_HA[[#This Row],[Vigas m3]]/T_HA[[#This Row],[Superficie m2]],)</f>
        <v>1.3274112392303906E-2</v>
      </c>
      <c r="AA61" s="57">
        <f>IFERROR(T_HA[[#This Row],[Losas m3]]/T_HA[[#This Row],[Superficie m2]],)</f>
        <v>0.16821980352999391</v>
      </c>
      <c r="AB61" s="57">
        <f>IFERROR(T_HA[[#This Row],[Total m3]]/T_HA[[#This Row],[Superficie m2]],)</f>
        <v>0.36446638396750075</v>
      </c>
    </row>
    <row r="62" spans="1:29" x14ac:dyDescent="0.25">
      <c r="A62" s="34">
        <v>20018</v>
      </c>
      <c r="B62" s="31" t="str" cm="1">
        <f t="array" ref="B62">INDEX(T_Info[],MATCH(T_HA[[#This Row],[Codigo]],T_Info[Codigo],0),COLUMN(T_Info[Proyecto]))</f>
        <v>Montemar</v>
      </c>
      <c r="C62" s="30" t="str" cm="1">
        <f t="array" ref="C62">INDEX(T_Info[],MATCH(T_HA[[#This Row],[Codigo]],T_Info[Codigo],0),COLUMN(T_Info[T.S]))</f>
        <v>C</v>
      </c>
      <c r="D62" s="34" cm="1">
        <f t="array" ref="D62">INDEX(T_Info[],MATCH(T_HA[[#This Row],[Codigo]],T_Info[Codigo],0),COLUMN(T_Info[Z.S]))</f>
        <v>3</v>
      </c>
      <c r="E62" s="34" cm="1">
        <f t="array" ref="E62">INDEX(T_Info[],MATCH(T_HA[[#This Row],[Codigo]],T_Info[Codigo],0),COLUMN(T_Info[Pisos]))</f>
        <v>20</v>
      </c>
      <c r="F62" s="34" cm="1">
        <f t="array" ref="F62">INDEX(T_Info[],MATCH(T_HA[[#This Row],[Codigo]],T_Info[Codigo],0),COLUMN(T_Info[Subt.]))</f>
        <v>2</v>
      </c>
      <c r="G62" s="35" cm="1">
        <f t="array" ref="G62">INDEX(T_Info[],MATCH(T_HA[[#This Row],[Codigo]],T_Info[Codigo],0),COLUMN(T_Info[Superficie m2]))</f>
        <v>21702.18</v>
      </c>
      <c r="H62" s="30" t="str" cm="1">
        <f t="array" ref="H62">IF(INDEX(T_Info[],MATCH(T_HA[[#This Row],[Codigo]],T_Info[Codigo],0),COLUMN(T_Info[Postensado]))&lt;&gt;"",INDEX(T_Info[],MATCH(T_HA[[#This Row],[Codigo]],T_Info[Codigo],0),COLUMN(T_Info[Postensado])),"")</f>
        <v/>
      </c>
      <c r="I62" s="30" t="str" cm="1">
        <f t="array" ref="I62">IF(INDEX(T_Info[],MATCH(T_HA[[#This Row],[Codigo]],T_Info[Codigo],0),COLUMN(T_Info[Losa Fundación]))&lt;&gt;"",INDEX(T_Info[],MATCH(T_HA[[#This Row],[Codigo]],T_Info[Codigo],0),COLUMN(T_Info[Losa Fundación])),"")</f>
        <v/>
      </c>
      <c r="J62" s="32">
        <v>1236.5</v>
      </c>
      <c r="K62" s="32"/>
      <c r="L62" s="32">
        <v>3293.4</v>
      </c>
      <c r="M62" s="32">
        <v>3016</v>
      </c>
      <c r="N62" s="32">
        <v>277.39999999999998</v>
      </c>
      <c r="O62" s="32">
        <v>393.5</v>
      </c>
      <c r="P62" s="32"/>
      <c r="Q62" s="32"/>
      <c r="R62" s="32">
        <v>3211.4</v>
      </c>
      <c r="S62" s="32">
        <v>0</v>
      </c>
      <c r="T62" s="32"/>
      <c r="U62" s="32">
        <v>8134.7999999999993</v>
      </c>
      <c r="V62" s="57">
        <f>IFERROR(T_HA[[#This Row],[Fund m3]]/T_HA[[#This Row],[Superficie m2]],)</f>
        <v>5.6975842979829674E-2</v>
      </c>
      <c r="W62" s="57">
        <f>IFERROR(T_HA[[#This Row],[Muros m3]]/T_HA[[#This Row],[Superficie m2]],)</f>
        <v>0.15175433988659204</v>
      </c>
      <c r="X62" s="57">
        <f>IFERROR(T_HA[[#This Row],[Muros Int m3]]/T_HA[[#This Row],[Superficie m2]],)</f>
        <v>0.13897221385132738</v>
      </c>
      <c r="Y62" s="57">
        <f>IFERROR(T_HA[[#This Row],[Perimetrales m3]]/T_HA[[#This Row],[Superficie m2]],)</f>
        <v>1.2782126035264659E-2</v>
      </c>
      <c r="Z62" s="57">
        <f>IFERROR(T_HA[[#This Row],[Vigas m3]]/T_HA[[#This Row],[Superficie m2]],)</f>
        <v>1.8131819015416883E-2</v>
      </c>
      <c r="AA62" s="57">
        <f>IFERROR(T_HA[[#This Row],[Losas m3]]/T_HA[[#This Row],[Superficie m2]],)</f>
        <v>0.14797591762670848</v>
      </c>
      <c r="AB62" s="57">
        <f>IFERROR(T_HA[[#This Row],[Total m3]]/T_HA[[#This Row],[Superficie m2]],)</f>
        <v>0.374837919508547</v>
      </c>
    </row>
    <row r="63" spans="1:29" x14ac:dyDescent="0.25">
      <c r="A63" s="34">
        <v>20020</v>
      </c>
      <c r="B63" s="31" t="str" cm="1">
        <f t="array" ref="B63">INDEX(T_Info[],MATCH(T_HA[[#This Row],[Codigo]],T_Info[Codigo],0),COLUMN(T_Info[Proyecto]))</f>
        <v>Alderete Torre A</v>
      </c>
      <c r="C63" s="30" t="str" cm="1">
        <f t="array" ref="C63">INDEX(T_Info[],MATCH(T_HA[[#This Row],[Codigo]],T_Info[Codigo],0),COLUMN(T_Info[T.S]))</f>
        <v>B</v>
      </c>
      <c r="D63" s="34" cm="1">
        <f t="array" ref="D63">INDEX(T_Info[],MATCH(T_HA[[#This Row],[Codigo]],T_Info[Codigo],0),COLUMN(T_Info[Z.S]))</f>
        <v>2</v>
      </c>
      <c r="E63" s="34" cm="1">
        <f t="array" ref="E63">INDEX(T_Info[],MATCH(T_HA[[#This Row],[Codigo]],T_Info[Codigo],0),COLUMN(T_Info[Pisos]))</f>
        <v>11</v>
      </c>
      <c r="F63" s="34" cm="1">
        <f t="array" ref="F63">INDEX(T_Info[],MATCH(T_HA[[#This Row],[Codigo]],T_Info[Codigo],0),COLUMN(T_Info[Subt.]))</f>
        <v>2</v>
      </c>
      <c r="G63" s="35" cm="1">
        <f t="array" ref="G63">INDEX(T_Info[],MATCH(T_HA[[#This Row],[Codigo]],T_Info[Codigo],0),COLUMN(T_Info[Superficie m2]))</f>
        <v>15026.89</v>
      </c>
      <c r="H63" s="30" t="str" cm="1">
        <f t="array" ref="H63">IF(INDEX(T_Info[],MATCH(T_HA[[#This Row],[Codigo]],T_Info[Codigo],0),COLUMN(T_Info[Postensado]))&lt;&gt;"",INDEX(T_Info[],MATCH(T_HA[[#This Row],[Codigo]],T_Info[Codigo],0),COLUMN(T_Info[Postensado])),"")</f>
        <v/>
      </c>
      <c r="I63" s="30" t="str" cm="1">
        <f t="array" ref="I63">IF(INDEX(T_Info[],MATCH(T_HA[[#This Row],[Codigo]],T_Info[Codigo],0),COLUMN(T_Info[Losa Fundación]))&lt;&gt;"",INDEX(T_Info[],MATCH(T_HA[[#This Row],[Codigo]],T_Info[Codigo],0),COLUMN(T_Info[Losa Fundación])),"")</f>
        <v/>
      </c>
      <c r="J63" s="32">
        <v>366.3</v>
      </c>
      <c r="K63" s="32"/>
      <c r="L63" s="32">
        <v>1721.1</v>
      </c>
      <c r="M63" s="32">
        <v>1530.9</v>
      </c>
      <c r="N63" s="32">
        <v>190.2</v>
      </c>
      <c r="O63" s="32">
        <v>234.9</v>
      </c>
      <c r="P63" s="32"/>
      <c r="Q63" s="32"/>
      <c r="R63" s="32">
        <v>2806.5</v>
      </c>
      <c r="S63" s="32">
        <v>0</v>
      </c>
      <c r="T63" s="32"/>
      <c r="U63" s="32">
        <v>5128.8</v>
      </c>
      <c r="V63" s="57">
        <f>IFERROR(T_HA[[#This Row],[Fund m3]]/T_HA[[#This Row],[Superficie m2]],)</f>
        <v>2.4376301416993137E-2</v>
      </c>
      <c r="W63" s="57">
        <f>IFERROR(T_HA[[#This Row],[Muros m3]]/T_HA[[#This Row],[Superficie m2]],)</f>
        <v>0.1145346775014657</v>
      </c>
      <c r="X63" s="57">
        <f>IFERROR(T_HA[[#This Row],[Muros Int m3]]/T_HA[[#This Row],[Superficie m2]],)</f>
        <v>0.10187736783858803</v>
      </c>
      <c r="Y63" s="57">
        <f>IFERROR(T_HA[[#This Row],[Perimetrales m3]]/T_HA[[#This Row],[Superficie m2]],)</f>
        <v>1.2657309662877682E-2</v>
      </c>
      <c r="Z63" s="57">
        <f>IFERROR(T_HA[[#This Row],[Vigas m3]]/T_HA[[#This Row],[Superficie m2]],)</f>
        <v>1.5631977075762183E-2</v>
      </c>
      <c r="AA63" s="57">
        <f>IFERROR(T_HA[[#This Row],[Losas m3]]/T_HA[[#This Row],[Superficie m2]],)</f>
        <v>0.18676519226533236</v>
      </c>
      <c r="AB63" s="57">
        <f>IFERROR(T_HA[[#This Row],[Total m3]]/T_HA[[#This Row],[Superficie m2]],)</f>
        <v>0.34130814825955341</v>
      </c>
    </row>
    <row r="64" spans="1:29" x14ac:dyDescent="0.25">
      <c r="A64" s="34">
        <v>20022</v>
      </c>
      <c r="B64" s="31" t="str" cm="1">
        <f t="array" ref="B64">INDEX(T_Info[],MATCH(T_HA[[#This Row],[Codigo]],T_Info[Codigo],0),COLUMN(T_Info[Proyecto]))</f>
        <v>General del Canto</v>
      </c>
      <c r="C64" s="30" t="str" cm="1">
        <f t="array" ref="C64">INDEX(T_Info[],MATCH(T_HA[[#This Row],[Codigo]],T_Info[Codigo],0),COLUMN(T_Info[T.S]))</f>
        <v>B</v>
      </c>
      <c r="D64" s="34" cm="1">
        <f t="array" ref="D64">INDEX(T_Info[],MATCH(T_HA[[#This Row],[Codigo]],T_Info[Codigo],0),COLUMN(T_Info[Z.S]))</f>
        <v>2</v>
      </c>
      <c r="E64" s="34" cm="1">
        <f t="array" ref="E64">INDEX(T_Info[],MATCH(T_HA[[#This Row],[Codigo]],T_Info[Codigo],0),COLUMN(T_Info[Pisos]))</f>
        <v>10</v>
      </c>
      <c r="F64" s="34" cm="1">
        <f t="array" ref="F64">INDEX(T_Info[],MATCH(T_HA[[#This Row],[Codigo]],T_Info[Codigo],0),COLUMN(T_Info[Subt.]))</f>
        <v>3</v>
      </c>
      <c r="G64" s="35" cm="1">
        <f t="array" ref="G64">INDEX(T_Info[],MATCH(T_HA[[#This Row],[Codigo]],T_Info[Codigo],0),COLUMN(T_Info[Superficie m2]))</f>
        <v>13520.53</v>
      </c>
      <c r="H64" s="30" t="str" cm="1">
        <f t="array" ref="H64">IF(INDEX(T_Info[],MATCH(T_HA[[#This Row],[Codigo]],T_Info[Codigo],0),COLUMN(T_Info[Postensado]))&lt;&gt;"",INDEX(T_Info[],MATCH(T_HA[[#This Row],[Codigo]],T_Info[Codigo],0),COLUMN(T_Info[Postensado])),"")</f>
        <v/>
      </c>
      <c r="I64" s="30" t="str" cm="1">
        <f t="array" ref="I64">IF(INDEX(T_Info[],MATCH(T_HA[[#This Row],[Codigo]],T_Info[Codigo],0),COLUMN(T_Info[Losa Fundación]))&lt;&gt;"",INDEX(T_Info[],MATCH(T_HA[[#This Row],[Codigo]],T_Info[Codigo],0),COLUMN(T_Info[Losa Fundación])),"")</f>
        <v/>
      </c>
      <c r="J64" s="32">
        <v>194.1</v>
      </c>
      <c r="K64" s="32"/>
      <c r="L64" s="32">
        <v>1787.9</v>
      </c>
      <c r="M64" s="32">
        <v>1472.3</v>
      </c>
      <c r="N64" s="32">
        <v>315.60000000000002</v>
      </c>
      <c r="O64" s="32">
        <v>120</v>
      </c>
      <c r="P64" s="32"/>
      <c r="Q64" s="32"/>
      <c r="R64" s="32">
        <v>2162.4</v>
      </c>
      <c r="S64" s="32">
        <v>0</v>
      </c>
      <c r="T64" s="32"/>
      <c r="U64" s="32">
        <v>4264.3999999999996</v>
      </c>
      <c r="V64" s="57">
        <f>IFERROR(T_HA[[#This Row],[Fund m3]]/T_HA[[#This Row],[Superficie m2]],)</f>
        <v>1.4355946105663016E-2</v>
      </c>
      <c r="W64" s="57">
        <f>IFERROR(T_HA[[#This Row],[Muros m3]]/T_HA[[#This Row],[Superficie m2]],)</f>
        <v>0.13223594045499695</v>
      </c>
      <c r="X64" s="57">
        <f>IFERROR(T_HA[[#This Row],[Muros Int m3]]/T_HA[[#This Row],[Superficie m2]],)</f>
        <v>0.10889366023373344</v>
      </c>
      <c r="Y64" s="57">
        <f>IFERROR(T_HA[[#This Row],[Perimetrales m3]]/T_HA[[#This Row],[Superficie m2]],)</f>
        <v>2.3342280221263514E-2</v>
      </c>
      <c r="Z64" s="57">
        <f>IFERROR(T_HA[[#This Row],[Vigas m3]]/T_HA[[#This Row],[Superficie m2]],)</f>
        <v>8.8753917191116017E-3</v>
      </c>
      <c r="AA64" s="57">
        <f>IFERROR(T_HA[[#This Row],[Losas m3]]/T_HA[[#This Row],[Superficie m2]],)</f>
        <v>0.15993455877839108</v>
      </c>
      <c r="AB64" s="57">
        <f>IFERROR(T_HA[[#This Row],[Total m3]]/T_HA[[#This Row],[Superficie m2]],)</f>
        <v>0.3154018370581626</v>
      </c>
    </row>
    <row r="65" spans="1:28" x14ac:dyDescent="0.25">
      <c r="A65" s="34">
        <v>20039</v>
      </c>
      <c r="B65" s="31" t="str" cm="1">
        <f t="array" ref="B65">INDEX(T_Info[],MATCH(T_HA[[#This Row],[Codigo]],T_Info[Codigo],0),COLUMN(T_Info[Proyecto]))</f>
        <v>Cinerarias</v>
      </c>
      <c r="C65" s="30" t="str" cm="1">
        <f t="array" ref="C65">INDEX(T_Info[],MATCH(T_HA[[#This Row],[Codigo]],T_Info[Codigo],0),COLUMN(T_Info[T.S]))</f>
        <v>C</v>
      </c>
      <c r="D65" s="34" cm="1">
        <f t="array" ref="D65">INDEX(T_Info[],MATCH(T_HA[[#This Row],[Codigo]],T_Info[Codigo],0),COLUMN(T_Info[Z.S]))</f>
        <v>3</v>
      </c>
      <c r="E65" s="34" cm="1">
        <f t="array" ref="E65">INDEX(T_Info[],MATCH(T_HA[[#This Row],[Codigo]],T_Info[Codigo],0),COLUMN(T_Info[Pisos]))</f>
        <v>17</v>
      </c>
      <c r="F65" s="34" cm="1">
        <f t="array" ref="F65">INDEX(T_Info[],MATCH(T_HA[[#This Row],[Codigo]],T_Info[Codigo],0),COLUMN(T_Info[Subt.]))</f>
        <v>2</v>
      </c>
      <c r="G65" s="35" cm="1">
        <f t="array" ref="G65">INDEX(T_Info[],MATCH(T_HA[[#This Row],[Codigo]],T_Info[Codigo],0),COLUMN(T_Info[Superficie m2]))</f>
        <v>12603.3</v>
      </c>
      <c r="H65" s="30" t="str" cm="1">
        <f t="array" ref="H65">IF(INDEX(T_Info[],MATCH(T_HA[[#This Row],[Codigo]],T_Info[Codigo],0),COLUMN(T_Info[Postensado]))&lt;&gt;"",INDEX(T_Info[],MATCH(T_HA[[#This Row],[Codigo]],T_Info[Codigo],0),COLUMN(T_Info[Postensado])),"")</f>
        <v/>
      </c>
      <c r="I65" s="30" t="str" cm="1">
        <f t="array" ref="I65">IF(INDEX(T_Info[],MATCH(T_HA[[#This Row],[Codigo]],T_Info[Codigo],0),COLUMN(T_Info[Losa Fundación]))&lt;&gt;"",INDEX(T_Info[],MATCH(T_HA[[#This Row],[Codigo]],T_Info[Codigo],0),COLUMN(T_Info[Losa Fundación])),"")</f>
        <v>Si</v>
      </c>
      <c r="J65" s="32">
        <v>333.7</v>
      </c>
      <c r="K65" s="32"/>
      <c r="L65" s="32">
        <v>1793.1</v>
      </c>
      <c r="M65" s="32">
        <v>1516.1</v>
      </c>
      <c r="N65" s="32">
        <v>277</v>
      </c>
      <c r="O65" s="32">
        <v>254.8</v>
      </c>
      <c r="P65" s="32"/>
      <c r="Q65" s="32"/>
      <c r="R65" s="32">
        <v>2315.8000000000002</v>
      </c>
      <c r="S65" s="32">
        <v>0</v>
      </c>
      <c r="T65" s="32"/>
      <c r="U65" s="32">
        <v>4697.4000000000005</v>
      </c>
      <c r="V65" s="57">
        <f>IFERROR(T_HA[[#This Row],[Fund m3]]/T_HA[[#This Row],[Superficie m2]],)</f>
        <v>2.6477192481334254E-2</v>
      </c>
      <c r="W65" s="57">
        <f>IFERROR(T_HA[[#This Row],[Muros m3]]/T_HA[[#This Row],[Superficie m2]],)</f>
        <v>0.14227226202661208</v>
      </c>
      <c r="X65" s="57">
        <f>IFERROR(T_HA[[#This Row],[Muros Int m3]]/T_HA[[#This Row],[Superficie m2]],)</f>
        <v>0.1202938912824419</v>
      </c>
      <c r="Y65" s="57">
        <f>IFERROR(T_HA[[#This Row],[Perimetrales m3]]/T_HA[[#This Row],[Superficie m2]],)</f>
        <v>2.1978370744170177E-2</v>
      </c>
      <c r="Z65" s="57">
        <f>IFERROR(T_HA[[#This Row],[Vigas m3]]/T_HA[[#This Row],[Superficie m2]],)</f>
        <v>2.0216927312687948E-2</v>
      </c>
      <c r="AA65" s="57">
        <f>IFERROR(T_HA[[#This Row],[Losas m3]]/T_HA[[#This Row],[Superficie m2]],)</f>
        <v>0.18374552696515994</v>
      </c>
      <c r="AB65" s="57">
        <f>IFERROR(T_HA[[#This Row],[Total m3]]/T_HA[[#This Row],[Superficie m2]],)</f>
        <v>0.37271190878579424</v>
      </c>
    </row>
    <row r="66" spans="1:28" x14ac:dyDescent="0.25">
      <c r="A66" s="34">
        <v>20044</v>
      </c>
      <c r="B66" s="31" t="str" cm="1">
        <f t="array" ref="B66">INDEX(T_Info[],MATCH(T_HA[[#This Row],[Codigo]],T_Info[Codigo],0),COLUMN(T_Info[Proyecto]))</f>
        <v>Celia Solar</v>
      </c>
      <c r="C66" s="30" t="str" cm="1">
        <f t="array" ref="C66">INDEX(T_Info[],MATCH(T_HA[[#This Row],[Codigo]],T_Info[Codigo],0),COLUMN(T_Info[T.S]))</f>
        <v>B</v>
      </c>
      <c r="D66" s="34" cm="1">
        <f t="array" ref="D66">INDEX(T_Info[],MATCH(T_HA[[#This Row],[Codigo]],T_Info[Codigo],0),COLUMN(T_Info[Z.S]))</f>
        <v>2</v>
      </c>
      <c r="E66" s="34" cm="1">
        <f t="array" ref="E66">INDEX(T_Info[],MATCH(T_HA[[#This Row],[Codigo]],T_Info[Codigo],0),COLUMN(T_Info[Pisos]))</f>
        <v>19</v>
      </c>
      <c r="F66" s="34" cm="1">
        <f t="array" ref="F66">INDEX(T_Info[],MATCH(T_HA[[#This Row],[Codigo]],T_Info[Codigo],0),COLUMN(T_Info[Subt.]))</f>
        <v>1</v>
      </c>
      <c r="G66" s="35" cm="1">
        <f t="array" ref="G66">INDEX(T_Info[],MATCH(T_HA[[#This Row],[Codigo]],T_Info[Codigo],0),COLUMN(T_Info[Superficie m2]))</f>
        <v>19652.88</v>
      </c>
      <c r="H66" s="30" t="str" cm="1">
        <f t="array" ref="H66">IF(INDEX(T_Info[],MATCH(T_HA[[#This Row],[Codigo]],T_Info[Codigo],0),COLUMN(T_Info[Postensado]))&lt;&gt;"",INDEX(T_Info[],MATCH(T_HA[[#This Row],[Codigo]],T_Info[Codigo],0),COLUMN(T_Info[Postensado])),"")</f>
        <v/>
      </c>
      <c r="I66" s="30" t="str" cm="1">
        <f t="array" ref="I66">IF(INDEX(T_Info[],MATCH(T_HA[[#This Row],[Codigo]],T_Info[Codigo],0),COLUMN(T_Info[Losa Fundación]))&lt;&gt;"",INDEX(T_Info[],MATCH(T_HA[[#This Row],[Codigo]],T_Info[Codigo],0),COLUMN(T_Info[Losa Fundación])),"")</f>
        <v/>
      </c>
      <c r="J66" s="32">
        <v>1011.5</v>
      </c>
      <c r="K66" s="32"/>
      <c r="L66" s="32">
        <v>2619.9</v>
      </c>
      <c r="M66" s="32">
        <v>2434.5</v>
      </c>
      <c r="N66" s="32">
        <v>185.4</v>
      </c>
      <c r="O66" s="32">
        <v>142.5</v>
      </c>
      <c r="P66" s="32"/>
      <c r="Q66" s="32"/>
      <c r="R66" s="32">
        <v>3474.6</v>
      </c>
      <c r="S66" s="32">
        <v>34.299999999999997</v>
      </c>
      <c r="T66" s="32"/>
      <c r="U66" s="32">
        <v>7282.8</v>
      </c>
      <c r="V66" s="57">
        <f>IFERROR(T_HA[[#This Row],[Fund m3]]/T_HA[[#This Row],[Superficie m2]],)</f>
        <v>5.1468283528928072E-2</v>
      </c>
      <c r="W66" s="57">
        <f>IFERROR(T_HA[[#This Row],[Muros m3]]/T_HA[[#This Row],[Superficie m2]],)</f>
        <v>0.13330870589959334</v>
      </c>
      <c r="X66" s="57">
        <f>IFERROR(T_HA[[#This Row],[Muros Int m3]]/T_HA[[#This Row],[Superficie m2]],)</f>
        <v>0.12387497404960493</v>
      </c>
      <c r="Y66" s="57">
        <f>IFERROR(T_HA[[#This Row],[Perimetrales m3]]/T_HA[[#This Row],[Superficie m2]],)</f>
        <v>9.4337318499883981E-3</v>
      </c>
      <c r="Z66" s="57">
        <f>IFERROR(T_HA[[#This Row],[Vigas m3]]/T_HA[[#This Row],[Superficie m2]],)</f>
        <v>7.2508456775800794E-3</v>
      </c>
      <c r="AA66" s="57">
        <f>IFERROR(T_HA[[#This Row],[Losas m3]]/T_HA[[#This Row],[Superficie m2]],)</f>
        <v>0.17679851502680521</v>
      </c>
      <c r="AB66" s="57">
        <f>IFERROR(T_HA[[#This Row],[Total m3]]/T_HA[[#This Row],[Superficie m2]],)</f>
        <v>0.37057164140828214</v>
      </c>
    </row>
    <row r="67" spans="1:28" x14ac:dyDescent="0.25">
      <c r="A67" s="34">
        <v>20053</v>
      </c>
      <c r="B67" s="31" t="str" cm="1">
        <f t="array" ref="B67">INDEX(T_Info[],MATCH(T_HA[[#This Row],[Codigo]],T_Info[Codigo],0),COLUMN(T_Info[Proyecto]))</f>
        <v>Aldunate</v>
      </c>
      <c r="C67" s="30" t="str" cm="1">
        <f t="array" ref="C67">INDEX(T_Info[],MATCH(T_HA[[#This Row],[Codigo]],T_Info[Codigo],0),COLUMN(T_Info[T.S]))</f>
        <v>B</v>
      </c>
      <c r="D67" s="34" cm="1">
        <f t="array" ref="D67">INDEX(T_Info[],MATCH(T_HA[[#This Row],[Codigo]],T_Info[Codigo],0),COLUMN(T_Info[Z.S]))</f>
        <v>2</v>
      </c>
      <c r="E67" s="34" cm="1">
        <f t="array" ref="E67">INDEX(T_Info[],MATCH(T_HA[[#This Row],[Codigo]],T_Info[Codigo],0),COLUMN(T_Info[Pisos]))</f>
        <v>10</v>
      </c>
      <c r="F67" s="34" cm="1">
        <f t="array" ref="F67">INDEX(T_Info[],MATCH(T_HA[[#This Row],[Codigo]],T_Info[Codigo],0),COLUMN(T_Info[Subt.]))</f>
        <v>3</v>
      </c>
      <c r="G67" s="35" cm="1">
        <f t="array" ref="G67">INDEX(T_Info[],MATCH(T_HA[[#This Row],[Codigo]],T_Info[Codigo],0),COLUMN(T_Info[Superficie m2]))</f>
        <v>15742.57</v>
      </c>
      <c r="H67" s="30" t="str" cm="1">
        <f t="array" ref="H67">IF(INDEX(T_Info[],MATCH(T_HA[[#This Row],[Codigo]],T_Info[Codigo],0),COLUMN(T_Info[Postensado]))&lt;&gt;"",INDEX(T_Info[],MATCH(T_HA[[#This Row],[Codigo]],T_Info[Codigo],0),COLUMN(T_Info[Postensado])),"")</f>
        <v/>
      </c>
      <c r="I67" s="30" t="str" cm="1">
        <f t="array" ref="I67">IF(INDEX(T_Info[],MATCH(T_HA[[#This Row],[Codigo]],T_Info[Codigo],0),COLUMN(T_Info[Losa Fundación]))&lt;&gt;"",INDEX(T_Info[],MATCH(T_HA[[#This Row],[Codigo]],T_Info[Codigo],0),COLUMN(T_Info[Losa Fundación])),"")</f>
        <v/>
      </c>
      <c r="J67" s="32">
        <v>216.3</v>
      </c>
      <c r="K67" s="32"/>
      <c r="L67" s="32">
        <v>2315.6</v>
      </c>
      <c r="M67" s="32">
        <v>1993.1</v>
      </c>
      <c r="N67" s="32">
        <v>322.5</v>
      </c>
      <c r="O67" s="32">
        <v>218.3</v>
      </c>
      <c r="P67" s="32"/>
      <c r="Q67" s="32"/>
      <c r="R67" s="32">
        <v>2378</v>
      </c>
      <c r="S67" s="32">
        <v>36.200000000000003</v>
      </c>
      <c r="T67" s="32"/>
      <c r="U67" s="32">
        <v>5164.4000000000005</v>
      </c>
      <c r="V67" s="57">
        <f>IFERROR(T_HA[[#This Row],[Fund m3]]/T_HA[[#This Row],[Superficie m2]],)</f>
        <v>1.3739815036553754E-2</v>
      </c>
      <c r="W67" s="57">
        <f>IFERROR(T_HA[[#This Row],[Muros m3]]/T_HA[[#This Row],[Superficie m2]],)</f>
        <v>0.1470916121065366</v>
      </c>
      <c r="X67" s="57">
        <f>IFERROR(T_HA[[#This Row],[Muros Int m3]]/T_HA[[#This Row],[Superficie m2]],)</f>
        <v>0.12660575750973316</v>
      </c>
      <c r="Y67" s="57">
        <f>IFERROR(T_HA[[#This Row],[Perimetrales m3]]/T_HA[[#This Row],[Superficie m2]],)</f>
        <v>2.0485854596803445E-2</v>
      </c>
      <c r="Z67" s="57">
        <f>IFERROR(T_HA[[#This Row],[Vigas m3]]/T_HA[[#This Row],[Superficie m2]],)</f>
        <v>1.3866859096068813E-2</v>
      </c>
      <c r="AA67" s="57">
        <f>IFERROR(T_HA[[#This Row],[Losas m3]]/T_HA[[#This Row],[Superficie m2]],)</f>
        <v>0.15105538676340649</v>
      </c>
      <c r="AB67" s="57">
        <f>IFERROR(T_HA[[#This Row],[Total m3]]/T_HA[[#This Row],[Superficie m2]],)</f>
        <v>0.32805317047978827</v>
      </c>
    </row>
    <row r="68" spans="1:28" x14ac:dyDescent="0.25">
      <c r="A68" s="34">
        <v>20064</v>
      </c>
      <c r="B68" s="31" t="str" cm="1">
        <f t="array" ref="B68">INDEX(T_Info[],MATCH(T_HA[[#This Row],[Codigo]],T_Info[Codigo],0),COLUMN(T_Info[Proyecto]))</f>
        <v>Vasco da Gama</v>
      </c>
      <c r="C68" s="30" t="str" cm="1">
        <f t="array" ref="C68">INDEX(T_Info[],MATCH(T_HA[[#This Row],[Codigo]],T_Info[Codigo],0),COLUMN(T_Info[T.S]))</f>
        <v>B</v>
      </c>
      <c r="D68" s="34" cm="1">
        <f t="array" ref="D68">INDEX(T_Info[],MATCH(T_HA[[#This Row],[Codigo]],T_Info[Codigo],0),COLUMN(T_Info[Z.S]))</f>
        <v>2</v>
      </c>
      <c r="E68" s="34" cm="1">
        <f t="array" ref="E68">INDEX(T_Info[],MATCH(T_HA[[#This Row],[Codigo]],T_Info[Codigo],0),COLUMN(T_Info[Pisos]))</f>
        <v>16</v>
      </c>
      <c r="F68" s="34" cm="1">
        <f t="array" ref="F68">INDEX(T_Info[],MATCH(T_HA[[#This Row],[Codigo]],T_Info[Codigo],0),COLUMN(T_Info[Subt.]))</f>
        <v>2</v>
      </c>
      <c r="G68" s="35" cm="1">
        <f t="array" ref="G68">INDEX(T_Info[],MATCH(T_HA[[#This Row],[Codigo]],T_Info[Codigo],0),COLUMN(T_Info[Superficie m2]))</f>
        <v>32460.95</v>
      </c>
      <c r="H68" s="30" t="str" cm="1">
        <f t="array" ref="H68">IF(INDEX(T_Info[],MATCH(T_HA[[#This Row],[Codigo]],T_Info[Codigo],0),COLUMN(T_Info[Postensado]))&lt;&gt;"",INDEX(T_Info[],MATCH(T_HA[[#This Row],[Codigo]],T_Info[Codigo],0),COLUMN(T_Info[Postensado])),"")</f>
        <v/>
      </c>
      <c r="I68" s="30" t="str" cm="1">
        <f t="array" ref="I68">IF(INDEX(T_Info[],MATCH(T_HA[[#This Row],[Codigo]],T_Info[Codigo],0),COLUMN(T_Info[Losa Fundación]))&lt;&gt;"",INDEX(T_Info[],MATCH(T_HA[[#This Row],[Codigo]],T_Info[Codigo],0),COLUMN(T_Info[Losa Fundación])),"")</f>
        <v/>
      </c>
      <c r="J68" s="32">
        <v>835.1</v>
      </c>
      <c r="K68" s="32"/>
      <c r="L68" s="32">
        <v>3883.1</v>
      </c>
      <c r="M68" s="32">
        <v>3419.8</v>
      </c>
      <c r="N68" s="32">
        <v>463.3</v>
      </c>
      <c r="O68" s="32">
        <v>452.6</v>
      </c>
      <c r="P68" s="32"/>
      <c r="Q68" s="32"/>
      <c r="R68" s="32">
        <v>5392.3</v>
      </c>
      <c r="S68" s="32">
        <v>51.2</v>
      </c>
      <c r="T68" s="32"/>
      <c r="U68" s="32">
        <v>10614.300000000003</v>
      </c>
      <c r="V68" s="57">
        <f>IFERROR(T_HA[[#This Row],[Fund m3]]/T_HA[[#This Row],[Superficie m2]],)</f>
        <v>2.5726295749200195E-2</v>
      </c>
      <c r="W68" s="57">
        <f>IFERROR(T_HA[[#This Row],[Muros m3]]/T_HA[[#This Row],[Superficie m2]],)</f>
        <v>0.1196237325155302</v>
      </c>
      <c r="X68" s="57">
        <f>IFERROR(T_HA[[#This Row],[Muros Int m3]]/T_HA[[#This Row],[Superficie m2]],)</f>
        <v>0.1053511989020654</v>
      </c>
      <c r="Y68" s="57">
        <f>IFERROR(T_HA[[#This Row],[Perimetrales m3]]/T_HA[[#This Row],[Superficie m2]],)</f>
        <v>1.4272533613464793E-2</v>
      </c>
      <c r="Z68" s="57">
        <f>IFERROR(T_HA[[#This Row],[Vigas m3]]/T_HA[[#This Row],[Superficie m2]],)</f>
        <v>1.3942906784921575E-2</v>
      </c>
      <c r="AA68" s="57">
        <f>IFERROR(T_HA[[#This Row],[Losas m3]]/T_HA[[#This Row],[Superficie m2]],)</f>
        <v>0.16611651846295319</v>
      </c>
      <c r="AB68" s="57">
        <f>IFERROR(T_HA[[#This Row],[Total m3]]/T_HA[[#This Row],[Superficie m2]],)</f>
        <v>0.32698673329030736</v>
      </c>
    </row>
    <row r="69" spans="1:28" x14ac:dyDescent="0.25">
      <c r="A69" s="34">
        <v>20067</v>
      </c>
      <c r="B69" s="31" t="str" cm="1">
        <f t="array" ref="B69">INDEX(T_Info[],MATCH(T_HA[[#This Row],[Codigo]],T_Info[Codigo],0),COLUMN(T_Info[Proyecto]))</f>
        <v>Lyon - Almagro</v>
      </c>
      <c r="C69" s="30" t="str" cm="1">
        <f t="array" ref="C69">INDEX(T_Info[],MATCH(T_HA[[#This Row],[Codigo]],T_Info[Codigo],0),COLUMN(T_Info[T.S]))</f>
        <v>B</v>
      </c>
      <c r="D69" s="34" cm="1">
        <f t="array" ref="D69">INDEX(T_Info[],MATCH(T_HA[[#This Row],[Codigo]],T_Info[Codigo],0),COLUMN(T_Info[Z.S]))</f>
        <v>2</v>
      </c>
      <c r="E69" s="34" cm="1">
        <f t="array" ref="E69">INDEX(T_Info[],MATCH(T_HA[[#This Row],[Codigo]],T_Info[Codigo],0),COLUMN(T_Info[Pisos]))</f>
        <v>13</v>
      </c>
      <c r="F69" s="34" cm="1">
        <f t="array" ref="F69">INDEX(T_Info[],MATCH(T_HA[[#This Row],[Codigo]],T_Info[Codigo],0),COLUMN(T_Info[Subt.]))</f>
        <v>5</v>
      </c>
      <c r="G69" s="35" cm="1">
        <f t="array" ref="G69">INDEX(T_Info[],MATCH(T_HA[[#This Row],[Codigo]],T_Info[Codigo],0),COLUMN(T_Info[Superficie m2]))</f>
        <v>14804.98</v>
      </c>
      <c r="H69" s="30" t="str" cm="1">
        <f t="array" ref="H69">IF(INDEX(T_Info[],MATCH(T_HA[[#This Row],[Codigo]],T_Info[Codigo],0),COLUMN(T_Info[Postensado]))&lt;&gt;"",INDEX(T_Info[],MATCH(T_HA[[#This Row],[Codigo]],T_Info[Codigo],0),COLUMN(T_Info[Postensado])),"")</f>
        <v/>
      </c>
      <c r="I69" s="30" t="str" cm="1">
        <f t="array" ref="I69">IF(INDEX(T_Info[],MATCH(T_HA[[#This Row],[Codigo]],T_Info[Codigo],0),COLUMN(T_Info[Losa Fundación]))&lt;&gt;"",INDEX(T_Info[],MATCH(T_HA[[#This Row],[Codigo]],T_Info[Codigo],0),COLUMN(T_Info[Losa Fundación])),"")</f>
        <v/>
      </c>
      <c r="J69" s="32">
        <v>365.6</v>
      </c>
      <c r="K69" s="32"/>
      <c r="L69" s="32">
        <v>1725.3</v>
      </c>
      <c r="M69" s="32">
        <v>1493.1</v>
      </c>
      <c r="N69" s="32">
        <v>232.3</v>
      </c>
      <c r="O69" s="32">
        <v>199.9</v>
      </c>
      <c r="P69" s="32"/>
      <c r="Q69" s="32"/>
      <c r="R69" s="32">
        <v>2502.8000000000002</v>
      </c>
      <c r="S69" s="32">
        <v>45.7</v>
      </c>
      <c r="T69" s="32"/>
      <c r="U69" s="32">
        <v>4839.4000000000005</v>
      </c>
      <c r="V69" s="57">
        <f>IFERROR(T_HA[[#This Row],[Fund m3]]/T_HA[[#This Row],[Superficie m2]],)</f>
        <v>2.4694393373040694E-2</v>
      </c>
      <c r="W69" s="57">
        <f>IFERROR(T_HA[[#This Row],[Muros m3]]/T_HA[[#This Row],[Superficie m2]],)</f>
        <v>0.116535111833991</v>
      </c>
      <c r="X69" s="57">
        <f>IFERROR(T_HA[[#This Row],[Muros Int m3]]/T_HA[[#This Row],[Superficie m2]],)</f>
        <v>0.10085120006916591</v>
      </c>
      <c r="Y69" s="57">
        <f>IFERROR(T_HA[[#This Row],[Perimetrales m3]]/T_HA[[#This Row],[Superficie m2]],)</f>
        <v>1.5690666248789259E-2</v>
      </c>
      <c r="Z69" s="57">
        <f>IFERROR(T_HA[[#This Row],[Vigas m3]]/T_HA[[#This Row],[Superficie m2]],)</f>
        <v>1.3502213444395063E-2</v>
      </c>
      <c r="AA69" s="57">
        <f>IFERROR(T_HA[[#This Row],[Losas m3]]/T_HA[[#This Row],[Superficie m2]],)</f>
        <v>0.16905122465548755</v>
      </c>
      <c r="AB69" s="57">
        <f>IFERROR(T_HA[[#This Row],[Total m3]]/T_HA[[#This Row],[Superficie m2]],)</f>
        <v>0.32687649696250859</v>
      </c>
    </row>
    <row r="70" spans="1:28" x14ac:dyDescent="0.25">
      <c r="A70" s="34">
        <v>20103</v>
      </c>
      <c r="B70" s="31" t="str" cm="1">
        <f t="array" ref="B70">INDEX(T_Info[],MATCH(T_HA[[#This Row],[Codigo]],T_Info[Codigo],0),COLUMN(T_Info[Proyecto]))</f>
        <v>Millalongo</v>
      </c>
      <c r="C70" s="30" t="str" cm="1">
        <f t="array" ref="C70">INDEX(T_Info[],MATCH(T_HA[[#This Row],[Codigo]],T_Info[Codigo],0),COLUMN(T_Info[T.S]))</f>
        <v>B</v>
      </c>
      <c r="D70" s="34" cm="1">
        <f t="array" ref="D70">INDEX(T_Info[],MATCH(T_HA[[#This Row],[Codigo]],T_Info[Codigo],0),COLUMN(T_Info[Z.S]))</f>
        <v>2</v>
      </c>
      <c r="E70" s="34" cm="1">
        <f t="array" ref="E70">INDEX(T_Info[],MATCH(T_HA[[#This Row],[Codigo]],T_Info[Codigo],0),COLUMN(T_Info[Pisos]))</f>
        <v>17</v>
      </c>
      <c r="F70" s="34" cm="1">
        <f t="array" ref="F70">INDEX(T_Info[],MATCH(T_HA[[#This Row],[Codigo]],T_Info[Codigo],0),COLUMN(T_Info[Subt.]))</f>
        <v>2</v>
      </c>
      <c r="G70" s="35" cm="1">
        <f t="array" ref="G70">INDEX(T_Info[],MATCH(T_HA[[#This Row],[Codigo]],T_Info[Codigo],0),COLUMN(T_Info[Superficie m2]))</f>
        <v>20964.990000000002</v>
      </c>
      <c r="H70" s="30" t="str" cm="1">
        <f t="array" ref="H70">IF(INDEX(T_Info[],MATCH(T_HA[[#This Row],[Codigo]],T_Info[Codigo],0),COLUMN(T_Info[Postensado]))&lt;&gt;"",INDEX(T_Info[],MATCH(T_HA[[#This Row],[Codigo]],T_Info[Codigo],0),COLUMN(T_Info[Postensado])),"")</f>
        <v/>
      </c>
      <c r="I70" s="30" t="str" cm="1">
        <f t="array" ref="I70">IF(INDEX(T_Info[],MATCH(T_HA[[#This Row],[Codigo]],T_Info[Codigo],0),COLUMN(T_Info[Losa Fundación]))&lt;&gt;"",INDEX(T_Info[],MATCH(T_HA[[#This Row],[Codigo]],T_Info[Codigo],0),COLUMN(T_Info[Losa Fundación])),"")</f>
        <v/>
      </c>
      <c r="J70" s="32">
        <v>399.8</v>
      </c>
      <c r="K70" s="32"/>
      <c r="L70" s="32">
        <v>3305.6</v>
      </c>
      <c r="M70" s="32">
        <v>2988.8</v>
      </c>
      <c r="N70" s="32">
        <v>316.7</v>
      </c>
      <c r="O70" s="32">
        <v>236.9</v>
      </c>
      <c r="P70" s="32"/>
      <c r="Q70" s="32"/>
      <c r="R70" s="32">
        <v>3138.6</v>
      </c>
      <c r="S70" s="32">
        <v>0</v>
      </c>
      <c r="T70" s="32"/>
      <c r="U70" s="32">
        <v>7080.8</v>
      </c>
      <c r="V70" s="57">
        <f>IFERROR(T_HA[[#This Row],[Fund m3]]/T_HA[[#This Row],[Superficie m2]],)</f>
        <v>1.9069887464768644E-2</v>
      </c>
      <c r="W70" s="57">
        <f>IFERROR(T_HA[[#This Row],[Muros m3]]/T_HA[[#This Row],[Superficie m2]],)</f>
        <v>0.15767238620194904</v>
      </c>
      <c r="X70" s="57">
        <f>IFERROR(T_HA[[#This Row],[Muros Int m3]]/T_HA[[#This Row],[Superficie m2]],)</f>
        <v>0.14256147987668966</v>
      </c>
      <c r="Y70" s="57">
        <f>IFERROR(T_HA[[#This Row],[Perimetrales m3]]/T_HA[[#This Row],[Superficie m2]],)</f>
        <v>1.5106136468464806E-2</v>
      </c>
      <c r="Z70" s="57">
        <f>IFERROR(T_HA[[#This Row],[Vigas m3]]/T_HA[[#This Row],[Superficie m2]],)</f>
        <v>1.129979074638242E-2</v>
      </c>
      <c r="AA70" s="57">
        <f>IFERROR(T_HA[[#This Row],[Losas m3]]/T_HA[[#This Row],[Superficie m2]],)</f>
        <v>0.14970672535498464</v>
      </c>
      <c r="AB70" s="57">
        <f>IFERROR(T_HA[[#This Row],[Total m3]]/T_HA[[#This Row],[Superficie m2]],)</f>
        <v>0.33774401991129016</v>
      </c>
    </row>
    <row r="71" spans="1:28" x14ac:dyDescent="0.25">
      <c r="A71" s="71">
        <v>20119</v>
      </c>
      <c r="B71" s="78" t="str" cm="1">
        <f t="array" ref="B71">INDEX(T_Info[],MATCH(T_HA[[#This Row],[Codigo]],T_Info[Codigo],0),COLUMN(T_Info[Proyecto]))</f>
        <v>Presidente Prieto</v>
      </c>
      <c r="C71" s="74" t="str" cm="1">
        <f t="array" ref="C71">INDEX(T_Info[],MATCH(T_HA[[#This Row],[Codigo]],T_Info[Codigo],0),COLUMN(T_Info[T.S]))</f>
        <v>B</v>
      </c>
      <c r="D71" s="71" cm="1">
        <f t="array" ref="D71">INDEX(T_Info[],MATCH(T_HA[[#This Row],[Codigo]],T_Info[Codigo],0),COLUMN(T_Info[Z.S]))</f>
        <v>2</v>
      </c>
      <c r="E71" s="71" cm="1">
        <f t="array" ref="E71">INDEX(T_Info[],MATCH(T_HA[[#This Row],[Codigo]],T_Info[Codigo],0),COLUMN(T_Info[Pisos]))</f>
        <v>9</v>
      </c>
      <c r="F71" s="71" cm="1">
        <f t="array" ref="F71">INDEX(T_Info[],MATCH(T_HA[[#This Row],[Codigo]],T_Info[Codigo],0),COLUMN(T_Info[Subt.]))</f>
        <v>0</v>
      </c>
      <c r="G71" s="79" cm="1">
        <f t="array" ref="G71">INDEX(T_Info[],MATCH(T_HA[[#This Row],[Codigo]],T_Info[Codigo],0),COLUMN(T_Info[Superficie m2]))</f>
        <v>11110</v>
      </c>
      <c r="H71" s="74" t="str" cm="1">
        <f t="array" ref="H71">IF(INDEX(T_Info[],MATCH(T_HA[[#This Row],[Codigo]],T_Info[Codigo],0),COLUMN(T_Info[Postensado]))&lt;&gt;"",INDEX(T_Info[],MATCH(T_HA[[#This Row],[Codigo]],T_Info[Codigo],0),COLUMN(T_Info[Postensado])),"")</f>
        <v>No</v>
      </c>
      <c r="I71" s="74" t="str" cm="1">
        <f t="array" ref="I71">IF(INDEX(T_Info[],MATCH(T_HA[[#This Row],[Codigo]],T_Info[Codigo],0),COLUMN(T_Info[Losa Fundación]))&lt;&gt;"",INDEX(T_Info[],MATCH(T_HA[[#This Row],[Codigo]],T_Info[Codigo],0),COLUMN(T_Info[Losa Fundación])),"")</f>
        <v>No</v>
      </c>
      <c r="J71" s="80">
        <v>230.39</v>
      </c>
      <c r="K71" s="80">
        <v>0</v>
      </c>
      <c r="L71" s="80">
        <v>1131.93</v>
      </c>
      <c r="M71" s="80">
        <v>1131.93</v>
      </c>
      <c r="N71" s="80">
        <v>0</v>
      </c>
      <c r="O71" s="80">
        <v>208.63</v>
      </c>
      <c r="P71" s="80">
        <v>0</v>
      </c>
      <c r="Q71" s="80">
        <v>0</v>
      </c>
      <c r="R71" s="80">
        <v>1687.29</v>
      </c>
      <c r="S71" s="80"/>
      <c r="T71" s="80"/>
      <c r="U71" s="80">
        <v>3258.2400000000002</v>
      </c>
      <c r="V71" s="57">
        <f>IFERROR(T_HA[[#This Row],[Fund m3]]/T_HA[[#This Row],[Superficie m2]],)</f>
        <v>2.0737173717371736E-2</v>
      </c>
      <c r="W71" s="57">
        <f>IFERROR(T_HA[[#This Row],[Muros m3]]/T_HA[[#This Row],[Superficie m2]],)</f>
        <v>0.10188388838883888</v>
      </c>
      <c r="X71" s="57">
        <f>IFERROR(T_HA[[#This Row],[Muros Int m3]]/T_HA[[#This Row],[Superficie m2]],)</f>
        <v>0.10188388838883888</v>
      </c>
      <c r="Y71" s="57">
        <f>IFERROR(T_HA[[#This Row],[Perimetrales m3]]/T_HA[[#This Row],[Superficie m2]],)</f>
        <v>0</v>
      </c>
      <c r="Z71" s="57">
        <f>IFERROR(T_HA[[#This Row],[Vigas m3]]/T_HA[[#This Row],[Superficie m2]],)</f>
        <v>1.8778577857785778E-2</v>
      </c>
      <c r="AA71" s="57">
        <f>IFERROR(T_HA[[#This Row],[Losas m3]]/T_HA[[#This Row],[Superficie m2]],)</f>
        <v>0.15187128712871287</v>
      </c>
      <c r="AB71" s="57">
        <f>IFERROR(T_HA[[#This Row],[Total m3]]/T_HA[[#This Row],[Superficie m2]],)</f>
        <v>0.2932709270927093</v>
      </c>
    </row>
    <row r="72" spans="1:28" x14ac:dyDescent="0.25">
      <c r="A72" s="34">
        <v>20123</v>
      </c>
      <c r="B72" s="31" t="str" cm="1">
        <f t="array" ref="B72">INDEX(T_Info[],MATCH(T_HA[[#This Row],[Codigo]],T_Info[Codigo],0),COLUMN(T_Info[Proyecto]))</f>
        <v>Mon Amour</v>
      </c>
      <c r="C72" s="30" t="str" cm="1">
        <f t="array" ref="C72">INDEX(T_Info[],MATCH(T_HA[[#This Row],[Codigo]],T_Info[Codigo],0),COLUMN(T_Info[T.S]))</f>
        <v>C</v>
      </c>
      <c r="D72" s="34" cm="1">
        <f t="array" ref="D72">INDEX(T_Info[],MATCH(T_HA[[#This Row],[Codigo]],T_Info[Codigo],0),COLUMN(T_Info[Z.S]))</f>
        <v>2</v>
      </c>
      <c r="E72" s="34" cm="1">
        <f t="array" ref="E72">INDEX(T_Info[],MATCH(T_HA[[#This Row],[Codigo]],T_Info[Codigo],0),COLUMN(T_Info[Pisos]))</f>
        <v>18</v>
      </c>
      <c r="F72" s="34" cm="1">
        <f t="array" ref="F72">INDEX(T_Info[],MATCH(T_HA[[#This Row],[Codigo]],T_Info[Codigo],0),COLUMN(T_Info[Subt.]))</f>
        <v>3</v>
      </c>
      <c r="G72" s="35" cm="1">
        <f t="array" ref="G72">INDEX(T_Info[],MATCH(T_HA[[#This Row],[Codigo]],T_Info[Codigo],0),COLUMN(T_Info[Superficie m2]))</f>
        <v>28495.62</v>
      </c>
      <c r="H72" s="30" t="str" cm="1">
        <f t="array" ref="H72">IF(INDEX(T_Info[],MATCH(T_HA[[#This Row],[Codigo]],T_Info[Codigo],0),COLUMN(T_Info[Postensado]))&lt;&gt;"",INDEX(T_Info[],MATCH(T_HA[[#This Row],[Codigo]],T_Info[Codigo],0),COLUMN(T_Info[Postensado])),"")</f>
        <v/>
      </c>
      <c r="I72" s="30" t="str" cm="1">
        <f t="array" ref="I72">IF(INDEX(T_Info[],MATCH(T_HA[[#This Row],[Codigo]],T_Info[Codigo],0),COLUMN(T_Info[Losa Fundación]))&lt;&gt;"",INDEX(T_Info[],MATCH(T_HA[[#This Row],[Codigo]],T_Info[Codigo],0),COLUMN(T_Info[Losa Fundación])),"")</f>
        <v/>
      </c>
      <c r="J72" s="32">
        <v>614.70000000000005</v>
      </c>
      <c r="K72" s="32"/>
      <c r="L72" s="32">
        <v>3884.4</v>
      </c>
      <c r="M72" s="32">
        <v>3400.9</v>
      </c>
      <c r="N72" s="32">
        <v>483.5</v>
      </c>
      <c r="O72" s="32">
        <v>413.8</v>
      </c>
      <c r="P72" s="32"/>
      <c r="Q72" s="32"/>
      <c r="R72" s="32">
        <v>4555</v>
      </c>
      <c r="S72" s="32">
        <v>74.7</v>
      </c>
      <c r="T72" s="32"/>
      <c r="U72" s="32">
        <v>9542.6000000000022</v>
      </c>
      <c r="V72" s="57">
        <f>IFERROR(T_HA[[#This Row],[Fund m3]]/T_HA[[#This Row],[Superficie m2]],)</f>
        <v>2.1571736287892669E-2</v>
      </c>
      <c r="W72" s="57">
        <f>IFERROR(T_HA[[#This Row],[Muros m3]]/T_HA[[#This Row],[Superficie m2]],)</f>
        <v>0.13631568641075367</v>
      </c>
      <c r="X72" s="57">
        <f>IFERROR(T_HA[[#This Row],[Muros Int m3]]/T_HA[[#This Row],[Superficie m2]],)</f>
        <v>0.11934816649014832</v>
      </c>
      <c r="Y72" s="57">
        <f>IFERROR(T_HA[[#This Row],[Perimetrales m3]]/T_HA[[#This Row],[Superficie m2]],)</f>
        <v>1.6967519920605342E-2</v>
      </c>
      <c r="Z72" s="57">
        <f>IFERROR(T_HA[[#This Row],[Vigas m3]]/T_HA[[#This Row],[Superficie m2]],)</f>
        <v>1.4521529975483952E-2</v>
      </c>
      <c r="AA72" s="57">
        <f>IFERROR(T_HA[[#This Row],[Losas m3]]/T_HA[[#This Row],[Superficie m2]],)</f>
        <v>0.15984912769050122</v>
      </c>
      <c r="AB72" s="57">
        <f>IFERROR(T_HA[[#This Row],[Total m3]]/T_HA[[#This Row],[Superficie m2]],)</f>
        <v>0.33487953587253066</v>
      </c>
    </row>
    <row r="73" spans="1:28" x14ac:dyDescent="0.25">
      <c r="A73" s="71">
        <v>21001</v>
      </c>
      <c r="B73" s="78" t="str" cm="1">
        <f t="array" ref="B73">INDEX(T_Info[],MATCH(T_HA[[#This Row],[Codigo]],T_Info[Codigo],0),COLUMN(T_Info[Proyecto]))</f>
        <v xml:space="preserve">Hernando de Aguirre </v>
      </c>
      <c r="C73" s="74" t="str" cm="1">
        <f t="array" ref="C73">INDEX(T_Info[],MATCH(T_HA[[#This Row],[Codigo]],T_Info[Codigo],0),COLUMN(T_Info[T.S]))</f>
        <v>B</v>
      </c>
      <c r="D73" s="71" cm="1">
        <f t="array" ref="D73">INDEX(T_Info[],MATCH(T_HA[[#This Row],[Codigo]],T_Info[Codigo],0),COLUMN(T_Info[Z.S]))</f>
        <v>2</v>
      </c>
      <c r="E73" s="71" cm="1">
        <f t="array" ref="E73">INDEX(T_Info[],MATCH(T_HA[[#This Row],[Codigo]],T_Info[Codigo],0),COLUMN(T_Info[Pisos]))</f>
        <v>14</v>
      </c>
      <c r="F73" s="71" cm="1">
        <f t="array" ref="F73">INDEX(T_Info[],MATCH(T_HA[[#This Row],[Codigo]],T_Info[Codigo],0),COLUMN(T_Info[Subt.]))</f>
        <v>4</v>
      </c>
      <c r="G73" s="79" cm="1">
        <f t="array" ref="G73">INDEX(T_Info[],MATCH(T_HA[[#This Row],[Codigo]],T_Info[Codigo],0),COLUMN(T_Info[Superficie m2]))</f>
        <v>11384.460000000001</v>
      </c>
      <c r="H73" s="74" t="str" cm="1">
        <f t="array" ref="H73">IF(INDEX(T_Info[],MATCH(T_HA[[#This Row],[Codigo]],T_Info[Codigo],0),COLUMN(T_Info[Postensado]))&lt;&gt;"",INDEX(T_Info[],MATCH(T_HA[[#This Row],[Codigo]],T_Info[Codigo],0),COLUMN(T_Info[Postensado])),"")</f>
        <v>No</v>
      </c>
      <c r="I73" s="74" t="str" cm="1">
        <f t="array" ref="I73">IF(INDEX(T_Info[],MATCH(T_HA[[#This Row],[Codigo]],T_Info[Codigo],0),COLUMN(T_Info[Losa Fundación]))&lt;&gt;"",INDEX(T_Info[],MATCH(T_HA[[#This Row],[Codigo]],T_Info[Codigo],0),COLUMN(T_Info[Losa Fundación])),"")</f>
        <v>No</v>
      </c>
      <c r="J73" s="80">
        <v>146.69000000000005</v>
      </c>
      <c r="K73" s="80">
        <v>30.25</v>
      </c>
      <c r="L73" s="80">
        <v>1432.2899999999984</v>
      </c>
      <c r="M73" s="80">
        <v>997.39999999999816</v>
      </c>
      <c r="N73" s="80">
        <v>434.89000000000016</v>
      </c>
      <c r="O73" s="80">
        <v>164.38000000000008</v>
      </c>
      <c r="P73" s="80">
        <v>14.16</v>
      </c>
      <c r="Q73" s="80">
        <v>2.21</v>
      </c>
      <c r="R73" s="80">
        <v>1908.3300000000002</v>
      </c>
      <c r="S73" s="80">
        <v>60.557000000000031</v>
      </c>
      <c r="T73" s="80"/>
      <c r="U73" s="80">
        <v>3758.8669999999988</v>
      </c>
      <c r="V73" s="57">
        <f>IFERROR(T_HA[[#This Row],[Fund m3]]/T_HA[[#This Row],[Superficie m2]],)</f>
        <v>1.2885108296748379E-2</v>
      </c>
      <c r="W73" s="57">
        <f>IFERROR(T_HA[[#This Row],[Muros m3]]/T_HA[[#This Row],[Superficie m2]],)</f>
        <v>0.12581097390653559</v>
      </c>
      <c r="X73" s="57">
        <f>IFERROR(T_HA[[#This Row],[Muros Int m3]]/T_HA[[#This Row],[Superficie m2]],)</f>
        <v>8.7610655226510362E-2</v>
      </c>
      <c r="Y73" s="57">
        <f>IFERROR(T_HA[[#This Row],[Perimetrales m3]]/T_HA[[#This Row],[Superficie m2]],)</f>
        <v>3.8200318680025241E-2</v>
      </c>
      <c r="Z73" s="57">
        <f>IFERROR(T_HA[[#This Row],[Vigas m3]]/T_HA[[#This Row],[Superficie m2]],)</f>
        <v>1.4438980856360343E-2</v>
      </c>
      <c r="AA73" s="57">
        <f>IFERROR(T_HA[[#This Row],[Losas m3]]/T_HA[[#This Row],[Superficie m2]],)</f>
        <v>0.16762586894767076</v>
      </c>
      <c r="AB73" s="57">
        <f>IFERROR(T_HA[[#This Row],[Total m3]]/T_HA[[#This Row],[Superficie m2]],)</f>
        <v>0.3301752564460676</v>
      </c>
    </row>
    <row r="74" spans="1:28" x14ac:dyDescent="0.25">
      <c r="A74" s="34">
        <v>21028</v>
      </c>
      <c r="B74" s="31" t="str" cm="1">
        <f t="array" ref="B74">INDEX(T_Info[],MATCH(T_HA[[#This Row],[Codigo]],T_Info[Codigo],0),COLUMN(T_Info[Proyecto]))</f>
        <v>Conjunto Olimpia 2</v>
      </c>
      <c r="C74" s="30" t="str" cm="1">
        <f t="array" ref="C74">INDEX(T_Info[],MATCH(T_HA[[#This Row],[Codigo]],T_Info[Codigo],0),COLUMN(T_Info[T.S]))</f>
        <v>B</v>
      </c>
      <c r="D74" s="34" cm="1">
        <f t="array" ref="D74">INDEX(T_Info[],MATCH(T_HA[[#This Row],[Codigo]],T_Info[Codigo],0),COLUMN(T_Info[Z.S]))</f>
        <v>2</v>
      </c>
      <c r="E74" s="34" cm="1">
        <f t="array" ref="E74">INDEX(T_Info[],MATCH(T_HA[[#This Row],[Codigo]],T_Info[Codigo],0),COLUMN(T_Info[Pisos]))</f>
        <v>6</v>
      </c>
      <c r="F74" s="34" cm="1">
        <f t="array" ref="F74">INDEX(T_Info[],MATCH(T_HA[[#This Row],[Codigo]],T_Info[Codigo],0),COLUMN(T_Info[Subt.]))</f>
        <v>1</v>
      </c>
      <c r="G74" s="35" cm="1">
        <f t="array" ref="G74">INDEX(T_Info[],MATCH(T_HA[[#This Row],[Codigo]],T_Info[Codigo],0),COLUMN(T_Info[Superficie m2]))</f>
        <v>4733.3999999999996</v>
      </c>
      <c r="H74" s="30" t="str" cm="1">
        <f t="array" ref="H74">IF(INDEX(T_Info[],MATCH(T_HA[[#This Row],[Codigo]],T_Info[Codigo],0),COLUMN(T_Info[Postensado]))&lt;&gt;"",INDEX(T_Info[],MATCH(T_HA[[#This Row],[Codigo]],T_Info[Codigo],0),COLUMN(T_Info[Postensado])),"")</f>
        <v/>
      </c>
      <c r="I74" s="30" t="str" cm="1">
        <f t="array" ref="I74">IF(INDEX(T_Info[],MATCH(T_HA[[#This Row],[Codigo]],T_Info[Codigo],0),COLUMN(T_Info[Losa Fundación]))&lt;&gt;"",INDEX(T_Info[],MATCH(T_HA[[#This Row],[Codigo]],T_Info[Codigo],0),COLUMN(T_Info[Losa Fundación])),"")</f>
        <v>Si</v>
      </c>
      <c r="J74" s="32">
        <v>361.4</v>
      </c>
      <c r="K74" s="32"/>
      <c r="L74" s="32">
        <v>659.3</v>
      </c>
      <c r="M74" s="32">
        <v>588.4</v>
      </c>
      <c r="N74" s="32">
        <v>70.900000000000006</v>
      </c>
      <c r="O74" s="32">
        <v>80.5</v>
      </c>
      <c r="P74" s="32">
        <v>0</v>
      </c>
      <c r="Q74" s="32">
        <v>0</v>
      </c>
      <c r="R74" s="32">
        <v>682</v>
      </c>
      <c r="S74" s="32">
        <v>12.4</v>
      </c>
      <c r="T74" s="32"/>
      <c r="U74" s="32">
        <v>1795.6</v>
      </c>
      <c r="V74" s="57">
        <f>IFERROR(T_HA[[#This Row],[Fund m3]]/T_HA[[#This Row],[Superficie m2]],)</f>
        <v>7.6351037309333666E-2</v>
      </c>
      <c r="W74" s="57">
        <f>IFERROR(T_HA[[#This Row],[Muros m3]]/T_HA[[#This Row],[Superficie m2]],)</f>
        <v>0.13928677060886466</v>
      </c>
      <c r="X74" s="57">
        <f>IFERROR(T_HA[[#This Row],[Muros Int m3]]/T_HA[[#This Row],[Superficie m2]],)</f>
        <v>0.12430810833650231</v>
      </c>
      <c r="Y74" s="57">
        <f>IFERROR(T_HA[[#This Row],[Perimetrales m3]]/T_HA[[#This Row],[Superficie m2]],)</f>
        <v>1.4978662272362364E-2</v>
      </c>
      <c r="Z74" s="57">
        <f>IFERROR(T_HA[[#This Row],[Vigas m3]]/T_HA[[#This Row],[Superficie m2]],)</f>
        <v>1.7006802721088437E-2</v>
      </c>
      <c r="AA74" s="57">
        <f>IFERROR(T_HA[[#This Row],[Losas m3]]/T_HA[[#This Row],[Superficie m2]],)</f>
        <v>0.14408247771158153</v>
      </c>
      <c r="AB74" s="57">
        <f>IFERROR(T_HA[[#This Row],[Total m3]]/T_HA[[#This Row],[Superficie m2]],)</f>
        <v>0.37934676976380616</v>
      </c>
    </row>
    <row r="75" spans="1:28" x14ac:dyDescent="0.25">
      <c r="A75" s="34">
        <v>21029</v>
      </c>
      <c r="B75" s="31" t="str" cm="1">
        <f t="array" ref="B75">INDEX(T_Info[],MATCH(T_HA[[#This Row],[Codigo]],T_Info[Codigo],0),COLUMN(T_Info[Proyecto]))</f>
        <v>Vicente Valdés 1 - Torre A</v>
      </c>
      <c r="C75" s="30" t="str" cm="1">
        <f t="array" ref="C75">INDEX(T_Info[],MATCH(T_HA[[#This Row],[Codigo]],T_Info[Codigo],0),COLUMN(T_Info[T.S]))</f>
        <v>B</v>
      </c>
      <c r="D75" s="34" cm="1">
        <f t="array" ref="D75">INDEX(T_Info[],MATCH(T_HA[[#This Row],[Codigo]],T_Info[Codigo],0),COLUMN(T_Info[Z.S]))</f>
        <v>2</v>
      </c>
      <c r="E75" s="34" cm="1">
        <f t="array" ref="E75">INDEX(T_Info[],MATCH(T_HA[[#This Row],[Codigo]],T_Info[Codigo],0),COLUMN(T_Info[Pisos]))</f>
        <v>8</v>
      </c>
      <c r="F75" s="34" cm="1">
        <f t="array" ref="F75">INDEX(T_Info[],MATCH(T_HA[[#This Row],[Codigo]],T_Info[Codigo],0),COLUMN(T_Info[Subt.]))</f>
        <v>2</v>
      </c>
      <c r="G75" s="35" cm="1">
        <f t="array" ref="G75">INDEX(T_Info[],MATCH(T_HA[[#This Row],[Codigo]],T_Info[Codigo],0),COLUMN(T_Info[Superficie m2]))</f>
        <v>12671.32</v>
      </c>
      <c r="H75" s="30" t="str" cm="1">
        <f t="array" ref="H75">IF(INDEX(T_Info[],MATCH(T_HA[[#This Row],[Codigo]],T_Info[Codigo],0),COLUMN(T_Info[Postensado]))&lt;&gt;"",INDEX(T_Info[],MATCH(T_HA[[#This Row],[Codigo]],T_Info[Codigo],0),COLUMN(T_Info[Postensado])),"")</f>
        <v/>
      </c>
      <c r="I75" s="30" t="str" cm="1">
        <f t="array" ref="I75">IF(INDEX(T_Info[],MATCH(T_HA[[#This Row],[Codigo]],T_Info[Codigo],0),COLUMN(T_Info[Losa Fundación]))&lt;&gt;"",INDEX(T_Info[],MATCH(T_HA[[#This Row],[Codigo]],T_Info[Codigo],0),COLUMN(T_Info[Losa Fundación])),"")</f>
        <v/>
      </c>
      <c r="J75" s="32">
        <v>221.3</v>
      </c>
      <c r="K75" s="32"/>
      <c r="L75" s="32">
        <v>1884.2</v>
      </c>
      <c r="M75" s="32">
        <v>1520.6</v>
      </c>
      <c r="N75" s="32">
        <v>363.6</v>
      </c>
      <c r="O75" s="32">
        <v>283.8</v>
      </c>
      <c r="P75" s="32">
        <v>0</v>
      </c>
      <c r="Q75" s="32">
        <v>0</v>
      </c>
      <c r="R75" s="86">
        <v>1955.3</v>
      </c>
      <c r="S75" s="32">
        <v>18.3</v>
      </c>
      <c r="T75" s="32"/>
      <c r="U75" s="32">
        <v>4362.9000000000005</v>
      </c>
      <c r="V75" s="57">
        <f>IFERROR(T_HA[[#This Row],[Fund m3]]/T_HA[[#This Row],[Superficie m2]],)</f>
        <v>1.7464636675579182E-2</v>
      </c>
      <c r="W75" s="57">
        <f>IFERROR(T_HA[[#This Row],[Muros m3]]/T_HA[[#This Row],[Superficie m2]],)</f>
        <v>0.14869800462777361</v>
      </c>
      <c r="X75" s="57">
        <f>IFERROR(T_HA[[#This Row],[Muros Int m3]]/T_HA[[#This Row],[Superficie m2]],)</f>
        <v>0.12000328300445415</v>
      </c>
      <c r="Y75" s="57">
        <f>IFERROR(T_HA[[#This Row],[Perimetrales m3]]/T_HA[[#This Row],[Superficie m2]],)</f>
        <v>2.8694721623319437E-2</v>
      </c>
      <c r="Z75" s="57">
        <f>IFERROR(T_HA[[#This Row],[Vigas m3]]/T_HA[[#This Row],[Superficie m2]],)</f>
        <v>2.2397035194439096E-2</v>
      </c>
      <c r="AA75" s="57">
        <f>IFERROR(T_HA[[#This Row],[Losas m3]]/T_HA[[#This Row],[Superficie m2]],)</f>
        <v>0.15430910118282862</v>
      </c>
      <c r="AB75" s="57">
        <f>IFERROR(T_HA[[#This Row],[Total m3]]/T_HA[[#This Row],[Superficie m2]],)</f>
        <v>0.34431298396694271</v>
      </c>
    </row>
    <row r="76" spans="1:28" s="4" customFormat="1" x14ac:dyDescent="0.25">
      <c r="A76" s="34">
        <v>21030</v>
      </c>
      <c r="B76" s="31" t="str" cm="1">
        <f t="array" ref="B76">INDEX(T_Info[],MATCH(T_HA[[#This Row],[Codigo]],T_Info[Codigo],0),COLUMN(T_Info[Proyecto]))</f>
        <v>Vicente Valdés 1 - Torre B</v>
      </c>
      <c r="C76" s="30" t="str" cm="1">
        <f t="array" ref="C76">INDEX(T_Info[],MATCH(T_HA[[#This Row],[Codigo]],T_Info[Codigo],0),COLUMN(T_Info[T.S]))</f>
        <v>B</v>
      </c>
      <c r="D76" s="34" cm="1">
        <f t="array" ref="D76">INDEX(T_Info[],MATCH(T_HA[[#This Row],[Codigo]],T_Info[Codigo],0),COLUMN(T_Info[Z.S]))</f>
        <v>2</v>
      </c>
      <c r="E76" s="34" cm="1">
        <f t="array" ref="E76">INDEX(T_Info[],MATCH(T_HA[[#This Row],[Codigo]],T_Info[Codigo],0),COLUMN(T_Info[Pisos]))</f>
        <v>8</v>
      </c>
      <c r="F76" s="34" cm="1">
        <f t="array" ref="F76">INDEX(T_Info[],MATCH(T_HA[[#This Row],[Codigo]],T_Info[Codigo],0),COLUMN(T_Info[Subt.]))</f>
        <v>1</v>
      </c>
      <c r="G76" s="35" cm="1">
        <f t="array" ref="G76">INDEX(T_Info[],MATCH(T_HA[[#This Row],[Codigo]],T_Info[Codigo],0),COLUMN(T_Info[Superficie m2]))</f>
        <v>8627.34</v>
      </c>
      <c r="H76" s="30" t="str" cm="1">
        <f t="array" ref="H76">IF(INDEX(T_Info[],MATCH(T_HA[[#This Row],[Codigo]],T_Info[Codigo],0),COLUMN(T_Info[Postensado]))&lt;&gt;"",INDEX(T_Info[],MATCH(T_HA[[#This Row],[Codigo]],T_Info[Codigo],0),COLUMN(T_Info[Postensado])),"")</f>
        <v/>
      </c>
      <c r="I76" s="30" t="str" cm="1">
        <f t="array" ref="I76">IF(INDEX(T_Info[],MATCH(T_HA[[#This Row],[Codigo]],T_Info[Codigo],0),COLUMN(T_Info[Losa Fundación]))&lt;&gt;"",INDEX(T_Info[],MATCH(T_HA[[#This Row],[Codigo]],T_Info[Codigo],0),COLUMN(T_Info[Losa Fundación])),"")</f>
        <v/>
      </c>
      <c r="J76" s="32">
        <v>112.7</v>
      </c>
      <c r="K76" s="32"/>
      <c r="L76" s="32">
        <v>1464.2</v>
      </c>
      <c r="M76" s="32">
        <v>1351.6</v>
      </c>
      <c r="N76" s="32">
        <v>112.6</v>
      </c>
      <c r="O76" s="32">
        <v>154.80000000000001</v>
      </c>
      <c r="P76" s="32">
        <v>0</v>
      </c>
      <c r="Q76" s="32">
        <v>0</v>
      </c>
      <c r="R76" s="32">
        <v>1316.1</v>
      </c>
      <c r="S76" s="32">
        <v>16.600000000000001</v>
      </c>
      <c r="T76" s="32"/>
      <c r="U76" s="32">
        <v>3064.3999999999996</v>
      </c>
      <c r="V76" s="57">
        <f>IFERROR(T_HA[[#This Row],[Fund m3]]/T_HA[[#This Row],[Superficie m2]],)</f>
        <v>1.3063122584713248E-2</v>
      </c>
      <c r="W76" s="57">
        <f>IFERROR(T_HA[[#This Row],[Muros m3]]/T_HA[[#This Row],[Superficie m2]],)</f>
        <v>0.16971627407752563</v>
      </c>
      <c r="X76" s="57">
        <f>IFERROR(T_HA[[#This Row],[Muros Int m3]]/T_HA[[#This Row],[Superficie m2]],)</f>
        <v>0.15666474255100643</v>
      </c>
      <c r="Y76" s="57">
        <f>IFERROR(T_HA[[#This Row],[Perimetrales m3]]/T_HA[[#This Row],[Superficie m2]],)</f>
        <v>1.3051531526519181E-2</v>
      </c>
      <c r="Z76" s="57">
        <f>IFERROR(T_HA[[#This Row],[Vigas m3]]/T_HA[[#This Row],[Superficie m2]],)</f>
        <v>1.7942958084415359E-2</v>
      </c>
      <c r="AA76" s="57">
        <f>IFERROR(T_HA[[#This Row],[Losas m3]]/T_HA[[#This Row],[Superficie m2]],)</f>
        <v>0.15254991689211272</v>
      </c>
      <c r="AB76" s="57">
        <f>IFERROR(T_HA[[#This Row],[Total m3]]/T_HA[[#This Row],[Superficie m2]],)</f>
        <v>0.35519638729898201</v>
      </c>
    </row>
    <row r="77" spans="1:28" x14ac:dyDescent="0.25">
      <c r="A77" s="34">
        <v>21042</v>
      </c>
      <c r="B77" s="31" t="str" cm="1">
        <f t="array" ref="B77">INDEX(T_Info[],MATCH(T_HA[[#This Row],[Codigo]],T_Info[Codigo],0),COLUMN(T_Info[Proyecto]))</f>
        <v>Carrera 4</v>
      </c>
      <c r="C77" s="30" t="str" cm="1">
        <f t="array" ref="C77">INDEX(T_Info[],MATCH(T_HA[[#This Row],[Codigo]],T_Info[Codigo],0),COLUMN(T_Info[T.S]))</f>
        <v>B</v>
      </c>
      <c r="D77" s="34" cm="1">
        <f t="array" ref="D77">INDEX(T_Info[],MATCH(T_HA[[#This Row],[Codigo]],T_Info[Codigo],0),COLUMN(T_Info[Z.S]))</f>
        <v>2</v>
      </c>
      <c r="E77" s="34" cm="1">
        <f t="array" ref="E77">INDEX(T_Info[],MATCH(T_HA[[#This Row],[Codigo]],T_Info[Codigo],0),COLUMN(T_Info[Pisos]))</f>
        <v>10</v>
      </c>
      <c r="F77" s="34" cm="1">
        <f t="array" ref="F77">INDEX(T_Info[],MATCH(T_HA[[#This Row],[Codigo]],T_Info[Codigo],0),COLUMN(T_Info[Subt.]))</f>
        <v>3</v>
      </c>
      <c r="G77" s="35" cm="1">
        <f t="array" ref="G77">INDEX(T_Info[],MATCH(T_HA[[#This Row],[Codigo]],T_Info[Codigo],0),COLUMN(T_Info[Superficie m2]))</f>
        <v>19804.080000000002</v>
      </c>
      <c r="H77" s="30" t="str" cm="1">
        <f t="array" ref="H77">IF(INDEX(T_Info[],MATCH(T_HA[[#This Row],[Codigo]],T_Info[Codigo],0),COLUMN(T_Info[Postensado]))&lt;&gt;"",INDEX(T_Info[],MATCH(T_HA[[#This Row],[Codigo]],T_Info[Codigo],0),COLUMN(T_Info[Postensado])),"")</f>
        <v/>
      </c>
      <c r="I77" s="30" t="str" cm="1">
        <f t="array" ref="I77">IF(INDEX(T_Info[],MATCH(T_HA[[#This Row],[Codigo]],T_Info[Codigo],0),COLUMN(T_Info[Losa Fundación]))&lt;&gt;"",INDEX(T_Info[],MATCH(T_HA[[#This Row],[Codigo]],T_Info[Codigo],0),COLUMN(T_Info[Losa Fundación])),"")</f>
        <v/>
      </c>
      <c r="J77" s="32">
        <v>405.2</v>
      </c>
      <c r="K77" s="32"/>
      <c r="L77" s="32">
        <v>2747.7</v>
      </c>
      <c r="M77" s="32">
        <v>2339.8000000000002</v>
      </c>
      <c r="N77" s="32">
        <v>408</v>
      </c>
      <c r="O77" s="32">
        <v>300.2</v>
      </c>
      <c r="P77" s="32">
        <v>0</v>
      </c>
      <c r="Q77" s="32">
        <v>0</v>
      </c>
      <c r="R77" s="32">
        <v>3342</v>
      </c>
      <c r="S77" s="32">
        <v>73.2</v>
      </c>
      <c r="T77" s="32"/>
      <c r="U77" s="32">
        <v>6868.4</v>
      </c>
      <c r="V77" s="57">
        <f>IFERROR(T_HA[[#This Row],[Fund m3]]/T_HA[[#This Row],[Superficie m2]],)</f>
        <v>2.0460430375962929E-2</v>
      </c>
      <c r="W77" s="57">
        <f>IFERROR(T_HA[[#This Row],[Muros m3]]/T_HA[[#This Row],[Superficie m2]],)</f>
        <v>0.13874413757165188</v>
      </c>
      <c r="X77" s="57">
        <f>IFERROR(T_HA[[#This Row],[Muros Int m3]]/T_HA[[#This Row],[Superficie m2]],)</f>
        <v>0.11814737165270994</v>
      </c>
      <c r="Y77" s="57">
        <f>IFERROR(T_HA[[#This Row],[Perimetrales m3]]/T_HA[[#This Row],[Superficie m2]],)</f>
        <v>2.0601815383496733E-2</v>
      </c>
      <c r="Z77" s="57">
        <f>IFERROR(T_HA[[#This Row],[Vigas m3]]/T_HA[[#This Row],[Superficie m2]],)</f>
        <v>1.5158492593445389E-2</v>
      </c>
      <c r="AA77" s="57">
        <f>IFERROR(T_HA[[#This Row],[Losas m3]]/T_HA[[#This Row],[Superficie m2]],)</f>
        <v>0.16875310542070118</v>
      </c>
      <c r="AB77" s="57">
        <f>IFERROR(T_HA[[#This Row],[Total m3]]/T_HA[[#This Row],[Superficie m2]],)</f>
        <v>0.34681742348041411</v>
      </c>
    </row>
    <row r="78" spans="1:28" x14ac:dyDescent="0.25">
      <c r="A78" s="71">
        <v>21046</v>
      </c>
      <c r="B78" s="78" t="str" cm="1">
        <f t="array" ref="B78">INDEX(T_Info[],MATCH(T_HA[[#This Row],[Codigo]],T_Info[Codigo],0),COLUMN(T_Info[Proyecto]))</f>
        <v>Vicente Valdés 2 - Torre A</v>
      </c>
      <c r="C78" s="74" t="str" cm="1">
        <f t="array" ref="C78">INDEX(T_Info[],MATCH(T_HA[[#This Row],[Codigo]],T_Info[Codigo],0),COLUMN(T_Info[T.S]))</f>
        <v>B</v>
      </c>
      <c r="D78" s="71" cm="1">
        <f t="array" ref="D78">INDEX(T_Info[],MATCH(T_HA[[#This Row],[Codigo]],T_Info[Codigo],0),COLUMN(T_Info[Z.S]))</f>
        <v>2</v>
      </c>
      <c r="E78" s="71" cm="1">
        <f t="array" ref="E78">INDEX(T_Info[],MATCH(T_HA[[#This Row],[Codigo]],T_Info[Codigo],0),COLUMN(T_Info[Pisos]))</f>
        <v>8</v>
      </c>
      <c r="F78" s="71" cm="1">
        <f t="array" ref="F78">INDEX(T_Info[],MATCH(T_HA[[#This Row],[Codigo]],T_Info[Codigo],0),COLUMN(T_Info[Subt.]))</f>
        <v>2</v>
      </c>
      <c r="G78" s="79" cm="1">
        <f t="array" ref="G78">INDEX(T_Info[],MATCH(T_HA[[#This Row],[Codigo]],T_Info[Codigo],0),COLUMN(T_Info[Superficie m2]))</f>
        <v>9776.25</v>
      </c>
      <c r="H78" s="74" t="str" cm="1">
        <f t="array" ref="H78">IF(INDEX(T_Info[],MATCH(T_HA[[#This Row],[Codigo]],T_Info[Codigo],0),COLUMN(T_Info[Postensado]))&lt;&gt;"",INDEX(T_Info[],MATCH(T_HA[[#This Row],[Codigo]],T_Info[Codigo],0),COLUMN(T_Info[Postensado])),"")</f>
        <v>No</v>
      </c>
      <c r="I78" s="74" t="str" cm="1">
        <f t="array" ref="I78">IF(INDEX(T_Info[],MATCH(T_HA[[#This Row],[Codigo]],T_Info[Codigo],0),COLUMN(T_Info[Losa Fundación]))&lt;&gt;"",INDEX(T_Info[],MATCH(T_HA[[#This Row],[Codigo]],T_Info[Codigo],0),COLUMN(T_Info[Losa Fundación])),"")</f>
        <v>No</v>
      </c>
      <c r="J78" s="80">
        <v>166.61999999999995</v>
      </c>
      <c r="K78" s="80">
        <v>0</v>
      </c>
      <c r="L78" s="80">
        <v>1486.2399999999991</v>
      </c>
      <c r="M78" s="80">
        <v>1357.4499999999991</v>
      </c>
      <c r="N78" s="80">
        <v>128.79</v>
      </c>
      <c r="O78" s="80">
        <v>190.1000000000007</v>
      </c>
      <c r="P78" s="80">
        <v>0</v>
      </c>
      <c r="Q78" s="80">
        <v>0</v>
      </c>
      <c r="R78" s="80">
        <v>1475.89</v>
      </c>
      <c r="S78" s="80">
        <v>16.73</v>
      </c>
      <c r="T78" s="80"/>
      <c r="U78" s="80">
        <v>3335.5799999999995</v>
      </c>
      <c r="V78" s="57">
        <f>IFERROR(T_HA[[#This Row],[Fund m3]]/T_HA[[#This Row],[Superficie m2]],)</f>
        <v>1.7043344840813188E-2</v>
      </c>
      <c r="W78" s="57">
        <f>IFERROR(T_HA[[#This Row],[Muros m3]]/T_HA[[#This Row],[Superficie m2]],)</f>
        <v>0.15202557217747081</v>
      </c>
      <c r="X78" s="57">
        <f>IFERROR(T_HA[[#This Row],[Muros Int m3]]/T_HA[[#This Row],[Superficie m2]],)</f>
        <v>0.13885180923155599</v>
      </c>
      <c r="Y78" s="57">
        <f>IFERROR(T_HA[[#This Row],[Perimetrales m3]]/T_HA[[#This Row],[Superficie m2]],)</f>
        <v>1.3173762945914843E-2</v>
      </c>
      <c r="Z78" s="57">
        <f>IFERROR(T_HA[[#This Row],[Vigas m3]]/T_HA[[#This Row],[Superficie m2]],)</f>
        <v>1.9445083748881289E-2</v>
      </c>
      <c r="AA78" s="57">
        <f>IFERROR(T_HA[[#This Row],[Losas m3]]/T_HA[[#This Row],[Superficie m2]],)</f>
        <v>0.15096688403017519</v>
      </c>
      <c r="AB78" s="57">
        <f>IFERROR(T_HA[[#This Row],[Total m3]]/T_HA[[#This Row],[Superficie m2]],)</f>
        <v>0.34119217491369386</v>
      </c>
    </row>
    <row r="79" spans="1:28" x14ac:dyDescent="0.25">
      <c r="A79" s="71">
        <v>21047</v>
      </c>
      <c r="B79" s="78" t="str" cm="1">
        <f t="array" ref="B79">INDEX(T_Info[],MATCH(T_HA[[#This Row],[Codigo]],T_Info[Codigo],0),COLUMN(T_Info[Proyecto]))</f>
        <v>Vicente Valdés 2 - Torre B</v>
      </c>
      <c r="C79" s="74" t="str" cm="1">
        <f t="array" ref="C79">INDEX(T_Info[],MATCH(T_HA[[#This Row],[Codigo]],T_Info[Codigo],0),COLUMN(T_Info[T.S]))</f>
        <v>B</v>
      </c>
      <c r="D79" s="71" cm="1">
        <f t="array" ref="D79">INDEX(T_Info[],MATCH(T_HA[[#This Row],[Codigo]],T_Info[Codigo],0),COLUMN(T_Info[Z.S]))</f>
        <v>2</v>
      </c>
      <c r="E79" s="71" cm="1">
        <f t="array" ref="E79">INDEX(T_Info[],MATCH(T_HA[[#This Row],[Codigo]],T_Info[Codigo],0),COLUMN(T_Info[Pisos]))</f>
        <v>8</v>
      </c>
      <c r="F79" s="71" cm="1">
        <f t="array" ref="F79">INDEX(T_Info[],MATCH(T_HA[[#This Row],[Codigo]],T_Info[Codigo],0),COLUMN(T_Info[Subt.]))</f>
        <v>2</v>
      </c>
      <c r="G79" s="79" cm="1">
        <f t="array" ref="G79">INDEX(T_Info[],MATCH(T_HA[[#This Row],[Codigo]],T_Info[Codigo],0),COLUMN(T_Info[Superficie m2]))</f>
        <v>12714</v>
      </c>
      <c r="H79" s="74" t="str" cm="1">
        <f t="array" ref="H79">IF(INDEX(T_Info[],MATCH(T_HA[[#This Row],[Codigo]],T_Info[Codigo],0),COLUMN(T_Info[Postensado]))&lt;&gt;"",INDEX(T_Info[],MATCH(T_HA[[#This Row],[Codigo]],T_Info[Codigo],0),COLUMN(T_Info[Postensado])),"")</f>
        <v>No</v>
      </c>
      <c r="I79" s="74" t="str" cm="1">
        <f t="array" ref="I79">IF(INDEX(T_Info[],MATCH(T_HA[[#This Row],[Codigo]],T_Info[Codigo],0),COLUMN(T_Info[Losa Fundación]))&lt;&gt;"",INDEX(T_Info[],MATCH(T_HA[[#This Row],[Codigo]],T_Info[Codigo],0),COLUMN(T_Info[Losa Fundación])),"")</f>
        <v>No</v>
      </c>
      <c r="J79" s="80">
        <v>252.38000000000002</v>
      </c>
      <c r="K79" s="80">
        <v>0</v>
      </c>
      <c r="L79" s="80">
        <v>1697.3099999999984</v>
      </c>
      <c r="M79" s="80">
        <v>1552.4599999999984</v>
      </c>
      <c r="N79" s="80">
        <v>144.85</v>
      </c>
      <c r="O79" s="80">
        <v>290.05000000000126</v>
      </c>
      <c r="P79" s="80">
        <v>0</v>
      </c>
      <c r="Q79" s="80">
        <v>0</v>
      </c>
      <c r="R79" s="80">
        <v>1898.0599999999997</v>
      </c>
      <c r="S79" s="80">
        <v>16.73</v>
      </c>
      <c r="T79" s="80"/>
      <c r="U79" s="80">
        <v>4154.5299999999988</v>
      </c>
      <c r="V79" s="57">
        <f>IFERROR(T_HA[[#This Row],[Fund m3]]/T_HA[[#This Row],[Superficie m2]],)</f>
        <v>1.9850558439515498E-2</v>
      </c>
      <c r="W79" s="57">
        <f>IFERROR(T_HA[[#This Row],[Muros m3]]/T_HA[[#This Row],[Superficie m2]],)</f>
        <v>0.13349929211892389</v>
      </c>
      <c r="X79" s="57">
        <f>IFERROR(T_HA[[#This Row],[Muros Int m3]]/T_HA[[#This Row],[Superficie m2]],)</f>
        <v>0.12210633946830253</v>
      </c>
      <c r="Y79" s="57">
        <f>IFERROR(T_HA[[#This Row],[Perimetrales m3]]/T_HA[[#This Row],[Superficie m2]],)</f>
        <v>1.1392952650621362E-2</v>
      </c>
      <c r="Z79" s="57">
        <f>IFERROR(T_HA[[#This Row],[Vigas m3]]/T_HA[[#This Row],[Superficie m2]],)</f>
        <v>2.2813434009753126E-2</v>
      </c>
      <c r="AA79" s="57">
        <f>IFERROR(T_HA[[#This Row],[Losas m3]]/T_HA[[#This Row],[Superficie m2]],)</f>
        <v>0.14928897278590528</v>
      </c>
      <c r="AB79" s="57">
        <f>IFERROR(T_HA[[#This Row],[Total m3]]/T_HA[[#This Row],[Superficie m2]],)</f>
        <v>0.32676812962089025</v>
      </c>
    </row>
    <row r="80" spans="1:28" x14ac:dyDescent="0.25">
      <c r="A80" s="71">
        <v>21048</v>
      </c>
      <c r="B80" s="78" t="str" cm="1">
        <f t="array" ref="B80">INDEX(T_Info[],MATCH(T_HA[[#This Row],[Codigo]],T_Info[Codigo],0),COLUMN(T_Info[Proyecto]))</f>
        <v>Vicente Valdés 2 - Torre C</v>
      </c>
      <c r="C80" s="74" t="str" cm="1">
        <f t="array" ref="C80">INDEX(T_Info[],MATCH(T_HA[[#This Row],[Codigo]],T_Info[Codigo],0),COLUMN(T_Info[T.S]))</f>
        <v>B</v>
      </c>
      <c r="D80" s="71" cm="1">
        <f t="array" ref="D80">INDEX(T_Info[],MATCH(T_HA[[#This Row],[Codigo]],T_Info[Codigo],0),COLUMN(T_Info[Z.S]))</f>
        <v>2</v>
      </c>
      <c r="E80" s="71" cm="1">
        <f t="array" ref="E80">INDEX(T_Info[],MATCH(T_HA[[#This Row],[Codigo]],T_Info[Codigo],0),COLUMN(T_Info[Pisos]))</f>
        <v>8</v>
      </c>
      <c r="F80" s="71" cm="1">
        <f t="array" ref="F80">INDEX(T_Info[],MATCH(T_HA[[#This Row],[Codigo]],T_Info[Codigo],0),COLUMN(T_Info[Subt.]))</f>
        <v>2</v>
      </c>
      <c r="G80" s="79" cm="1">
        <f t="array" ref="G80">INDEX(T_Info[],MATCH(T_HA[[#This Row],[Codigo]],T_Info[Codigo],0),COLUMN(T_Info[Superficie m2]))</f>
        <v>13311.47</v>
      </c>
      <c r="H80" s="74" t="str" cm="1">
        <f t="array" ref="H80">IF(INDEX(T_Info[],MATCH(T_HA[[#This Row],[Codigo]],T_Info[Codigo],0),COLUMN(T_Info[Postensado]))&lt;&gt;"",INDEX(T_Info[],MATCH(T_HA[[#This Row],[Codigo]],T_Info[Codigo],0),COLUMN(T_Info[Postensado])),"")</f>
        <v>No</v>
      </c>
      <c r="I80" s="74" t="str" cm="1">
        <f t="array" ref="I80">IF(INDEX(T_Info[],MATCH(T_HA[[#This Row],[Codigo]],T_Info[Codigo],0),COLUMN(T_Info[Losa Fundación]))&lt;&gt;"",INDEX(T_Info[],MATCH(T_HA[[#This Row],[Codigo]],T_Info[Codigo],0),COLUMN(T_Info[Losa Fundación])),"")</f>
        <v>No</v>
      </c>
      <c r="J80" s="80">
        <v>258.83999999999997</v>
      </c>
      <c r="K80" s="80">
        <v>0</v>
      </c>
      <c r="L80" s="80">
        <v>1695.8099999999965</v>
      </c>
      <c r="M80" s="80">
        <v>1549.3099999999965</v>
      </c>
      <c r="N80" s="80">
        <v>146.50000000000003</v>
      </c>
      <c r="O80" s="80">
        <v>320.24000000000029</v>
      </c>
      <c r="P80" s="80">
        <v>0</v>
      </c>
      <c r="Q80" s="80">
        <v>0</v>
      </c>
      <c r="R80" s="80">
        <v>1990.9299999999994</v>
      </c>
      <c r="S80" s="80">
        <v>16.73</v>
      </c>
      <c r="T80" s="80"/>
      <c r="U80" s="80">
        <v>4282.5499999999956</v>
      </c>
      <c r="V80" s="57">
        <f>IFERROR(T_HA[[#This Row],[Fund m3]]/T_HA[[#This Row],[Superficie m2]],)</f>
        <v>1.944488474976843E-2</v>
      </c>
      <c r="W80" s="57">
        <f>IFERROR(T_HA[[#This Row],[Muros m3]]/T_HA[[#This Row],[Superficie m2]],)</f>
        <v>0.12739464536974479</v>
      </c>
      <c r="X80" s="57">
        <f>IFERROR(T_HA[[#This Row],[Muros Int m3]]/T_HA[[#This Row],[Superficie m2]],)</f>
        <v>0.1163890990251262</v>
      </c>
      <c r="Y80" s="57">
        <f>IFERROR(T_HA[[#This Row],[Perimetrales m3]]/T_HA[[#This Row],[Superficie m2]],)</f>
        <v>1.100554634461859E-2</v>
      </c>
      <c r="Z80" s="57">
        <f>IFERROR(T_HA[[#This Row],[Vigas m3]]/T_HA[[#This Row],[Superficie m2]],)</f>
        <v>2.4057448200687101E-2</v>
      </c>
      <c r="AA80" s="57">
        <f>IFERROR(T_HA[[#This Row],[Losas m3]]/T_HA[[#This Row],[Superficie m2]],)</f>
        <v>0.14956499920745037</v>
      </c>
      <c r="AB80" s="57">
        <f>IFERROR(T_HA[[#This Row],[Total m3]]/T_HA[[#This Row],[Superficie m2]],)</f>
        <v>0.32171878838325113</v>
      </c>
    </row>
    <row r="81" spans="1:28" x14ac:dyDescent="0.25">
      <c r="A81" s="71">
        <v>21049</v>
      </c>
      <c r="B81" s="78" t="str" cm="1">
        <f t="array" ref="B81">INDEX(T_Info[],MATCH(T_HA[[#This Row],[Codigo]],T_Info[Codigo],0),COLUMN(T_Info[Proyecto]))</f>
        <v>Vicente Valdés 2 - Torre D</v>
      </c>
      <c r="C81" s="74" t="str" cm="1">
        <f t="array" ref="C81">INDEX(T_Info[],MATCH(T_HA[[#This Row],[Codigo]],T_Info[Codigo],0),COLUMN(T_Info[T.S]))</f>
        <v>B</v>
      </c>
      <c r="D81" s="71" cm="1">
        <f t="array" ref="D81">INDEX(T_Info[],MATCH(T_HA[[#This Row],[Codigo]],T_Info[Codigo],0),COLUMN(T_Info[Z.S]))</f>
        <v>2</v>
      </c>
      <c r="E81" s="71" cm="1">
        <f t="array" ref="E81">INDEX(T_Info[],MATCH(T_HA[[#This Row],[Codigo]],T_Info[Codigo],0),COLUMN(T_Info[Pisos]))</f>
        <v>8</v>
      </c>
      <c r="F81" s="71" cm="1">
        <f t="array" ref="F81">INDEX(T_Info[],MATCH(T_HA[[#This Row],[Codigo]],T_Info[Codigo],0),COLUMN(T_Info[Subt.]))</f>
        <v>2</v>
      </c>
      <c r="G81" s="79" cm="1">
        <f t="array" ref="G81">INDEX(T_Info[],MATCH(T_HA[[#This Row],[Codigo]],T_Info[Codigo],0),COLUMN(T_Info[Superficie m2]))</f>
        <v>9858.1</v>
      </c>
      <c r="H81" s="74" t="str" cm="1">
        <f t="array" ref="H81">IF(INDEX(T_Info[],MATCH(T_HA[[#This Row],[Codigo]],T_Info[Codigo],0),COLUMN(T_Info[Postensado]))&lt;&gt;"",INDEX(T_Info[],MATCH(T_HA[[#This Row],[Codigo]],T_Info[Codigo],0),COLUMN(T_Info[Postensado])),"")</f>
        <v>No</v>
      </c>
      <c r="I81" s="74" t="str" cm="1">
        <f t="array" ref="I81">IF(INDEX(T_Info[],MATCH(T_HA[[#This Row],[Codigo]],T_Info[Codigo],0),COLUMN(T_Info[Losa Fundación]))&lt;&gt;"",INDEX(T_Info[],MATCH(T_HA[[#This Row],[Codigo]],T_Info[Codigo],0),COLUMN(T_Info[Losa Fundación])),"")</f>
        <v>No</v>
      </c>
      <c r="J81" s="80">
        <v>197.6</v>
      </c>
      <c r="K81" s="80">
        <v>0</v>
      </c>
      <c r="L81" s="80">
        <v>1614.01</v>
      </c>
      <c r="M81" s="80">
        <v>1454.5899999999965</v>
      </c>
      <c r="N81" s="80">
        <v>159.41999999999999</v>
      </c>
      <c r="O81" s="80">
        <v>209.58</v>
      </c>
      <c r="P81" s="80">
        <v>0</v>
      </c>
      <c r="Q81" s="80">
        <v>0</v>
      </c>
      <c r="R81" s="80">
        <v>1476.53</v>
      </c>
      <c r="S81" s="80">
        <v>16.73</v>
      </c>
      <c r="T81" s="80"/>
      <c r="U81" s="80">
        <v>3514.4499999999966</v>
      </c>
      <c r="V81" s="57">
        <f>IFERROR(T_HA[[#This Row],[Fund m3]]/T_HA[[#This Row],[Superficie m2]],)</f>
        <v>2.0044430468345826E-2</v>
      </c>
      <c r="W81" s="57">
        <f>IFERROR(T_HA[[#This Row],[Muros m3]]/T_HA[[#This Row],[Superficie m2]],)</f>
        <v>0.16372424706586461</v>
      </c>
      <c r="X81" s="57">
        <f>IFERROR(T_HA[[#This Row],[Muros Int m3]]/T_HA[[#This Row],[Superficie m2]],)</f>
        <v>0.1475527738610885</v>
      </c>
      <c r="Y81" s="57">
        <f>IFERROR(T_HA[[#This Row],[Perimetrales m3]]/T_HA[[#This Row],[Superficie m2]],)</f>
        <v>1.6171473204775768E-2</v>
      </c>
      <c r="Z81" s="57">
        <f>IFERROR(T_HA[[#This Row],[Vigas m3]]/T_HA[[#This Row],[Superficie m2]],)</f>
        <v>2.1259674785202017E-2</v>
      </c>
      <c r="AA81" s="57">
        <f>IFERROR(T_HA[[#This Row],[Losas m3]]/T_HA[[#This Row],[Superficie m2]],)</f>
        <v>0.14977835485539809</v>
      </c>
      <c r="AB81" s="57">
        <f>IFERROR(T_HA[[#This Row],[Total m3]]/T_HA[[#This Row],[Superficie m2]],)</f>
        <v>0.35650378876254007</v>
      </c>
    </row>
    <row r="82" spans="1:28" x14ac:dyDescent="0.25">
      <c r="A82" s="34">
        <v>20125</v>
      </c>
      <c r="B82" s="31" t="str" cm="1">
        <f t="array" ref="B82">INDEX(T_Info[],MATCH(T_HA[[#This Row],[Codigo]],T_Info[Codigo],0),COLUMN(T_Info[Proyecto]))</f>
        <v>Suárez Mujica</v>
      </c>
      <c r="C82" s="30" t="str" cm="1">
        <f t="array" ref="C82">INDEX(T_Info[],MATCH(T_HA[[#This Row],[Codigo]],T_Info[Codigo],0),COLUMN(T_Info[T.S]))</f>
        <v>B</v>
      </c>
      <c r="D82" s="34" cm="1">
        <f t="array" ref="D82">INDEX(T_Info[],MATCH(T_HA[[#This Row],[Codigo]],T_Info[Codigo],0),COLUMN(T_Info[Z.S]))</f>
        <v>2</v>
      </c>
      <c r="E82" s="34" cm="1">
        <f t="array" ref="E82">INDEX(T_Info[],MATCH(T_HA[[#This Row],[Codigo]],T_Info[Codigo],0),COLUMN(T_Info[Pisos]))</f>
        <v>14</v>
      </c>
      <c r="F82" s="34" cm="1">
        <f t="array" ref="F82">INDEX(T_Info[],MATCH(T_HA[[#This Row],[Codigo]],T_Info[Codigo],0),COLUMN(T_Info[Subt.]))</f>
        <v>2</v>
      </c>
      <c r="G82" s="35" cm="1">
        <f t="array" ref="G82">INDEX(T_Info[],MATCH(T_HA[[#This Row],[Codigo]],T_Info[Codigo],0),COLUMN(T_Info[Superficie m2]))</f>
        <v>11586.869999999995</v>
      </c>
      <c r="H82" s="30" t="str" cm="1">
        <f t="array" ref="H82">IF(INDEX(T_Info[],MATCH(T_HA[[#This Row],[Codigo]],T_Info[Codigo],0),COLUMN(T_Info[Postensado]))&lt;&gt;"",INDEX(T_Info[],MATCH(T_HA[[#This Row],[Codigo]],T_Info[Codigo],0),COLUMN(T_Info[Postensado])),"")</f>
        <v>No</v>
      </c>
      <c r="I82" s="30" t="str" cm="1">
        <f t="array" ref="I82">IF(INDEX(T_Info[],MATCH(T_HA[[#This Row],[Codigo]],T_Info[Codigo],0),COLUMN(T_Info[Losa Fundación]))&lt;&gt;"",INDEX(T_Info[],MATCH(T_HA[[#This Row],[Codigo]],T_Info[Codigo],0),COLUMN(T_Info[Losa Fundación])),"")</f>
        <v>No</v>
      </c>
      <c r="J82" s="32">
        <v>228.86999999999992</v>
      </c>
      <c r="K82" s="32">
        <v>0</v>
      </c>
      <c r="L82" s="32">
        <v>1581.9</v>
      </c>
      <c r="M82" s="32">
        <v>1373.870000000001</v>
      </c>
      <c r="N82" s="32">
        <v>208.01</v>
      </c>
      <c r="O82" s="32">
        <v>224.57000000000033</v>
      </c>
      <c r="P82" s="32">
        <v>0</v>
      </c>
      <c r="Q82" s="32">
        <v>4.3450000000000006</v>
      </c>
      <c r="R82" s="32">
        <v>1724.4100000000003</v>
      </c>
      <c r="S82" s="32">
        <v>0</v>
      </c>
      <c r="T82" s="32">
        <v>218.12748000000002</v>
      </c>
      <c r="U82" s="32">
        <v>3982.2024800000017</v>
      </c>
      <c r="V82" s="57">
        <f>IFERROR(T_HA[[#This Row],[Fund m3]]/T_HA[[#This Row],[Superficie m2]],)</f>
        <v>1.9752530234653537E-2</v>
      </c>
      <c r="W82" s="57">
        <f>IFERROR(T_HA[[#This Row],[Muros m3]]/T_HA[[#This Row],[Superficie m2]],)</f>
        <v>0.13652522208327189</v>
      </c>
      <c r="X82" s="57">
        <f>IFERROR(T_HA[[#This Row],[Muros Int m3]]/T_HA[[#This Row],[Superficie m2]],)</f>
        <v>0.11857127938778994</v>
      </c>
      <c r="Y82" s="57">
        <f>IFERROR(T_HA[[#This Row],[Perimetrales m3]]/T_HA[[#This Row],[Superficie m2]],)</f>
        <v>1.7952216603793782E-2</v>
      </c>
      <c r="Z82" s="57">
        <f>IFERROR(T_HA[[#This Row],[Vigas m3]]/T_HA[[#This Row],[Superficie m2]],)</f>
        <v>1.9381420521676726E-2</v>
      </c>
      <c r="AA82" s="57">
        <f>IFERROR(T_HA[[#This Row],[Losas m3]]/T_HA[[#This Row],[Superficie m2]],)</f>
        <v>0.14882448840799983</v>
      </c>
      <c r="AB82" s="57">
        <f>IFERROR(T_HA[[#This Row],[Total m3]]/T_HA[[#This Row],[Superficie m2]],)</f>
        <v>0.3436823300856921</v>
      </c>
    </row>
    <row r="83" spans="1:28" x14ac:dyDescent="0.25">
      <c r="A83" s="34">
        <v>22016</v>
      </c>
      <c r="B83" s="31" t="str" cm="1">
        <f t="array" ref="B83">INDEX(T_Info[],MATCH(T_HA[[#This Row],[Codigo]],T_Info[Codigo],0),COLUMN(T_Info[Proyecto]))</f>
        <v>Edificio 5 La Granja</v>
      </c>
      <c r="C83" s="30" t="str" cm="1">
        <f t="array" ref="C83">INDEX(T_Info[],MATCH(T_HA[[#This Row],[Codigo]],T_Info[Codigo],0),COLUMN(T_Info[T.S]))</f>
        <v>B</v>
      </c>
      <c r="D83" s="34" cm="1">
        <f t="array" ref="D83">INDEX(T_Info[],MATCH(T_HA[[#This Row],[Codigo]],T_Info[Codigo],0),COLUMN(T_Info[Z.S]))</f>
        <v>2</v>
      </c>
      <c r="E83" s="34" cm="1">
        <f t="array" ref="E83">INDEX(T_Info[],MATCH(T_HA[[#This Row],[Codigo]],T_Info[Codigo],0),COLUMN(T_Info[Pisos]))</f>
        <v>11</v>
      </c>
      <c r="F83" s="34" cm="1">
        <f t="array" ref="F83">INDEX(T_Info[],MATCH(T_HA[[#This Row],[Codigo]],T_Info[Codigo],0),COLUMN(T_Info[Subt.]))</f>
        <v>0</v>
      </c>
      <c r="G83" s="35" cm="1">
        <f t="array" ref="G83">INDEX(T_Info[],MATCH(T_HA[[#This Row],[Codigo]],T_Info[Codigo],0),COLUMN(T_Info[Superficie m2]))</f>
        <v>3822.1</v>
      </c>
      <c r="H83" s="30" t="str" cm="1">
        <f t="array" ref="H83">IF(INDEX(T_Info[],MATCH(T_HA[[#This Row],[Codigo]],T_Info[Codigo],0),COLUMN(T_Info[Postensado]))&lt;&gt;"",INDEX(T_Info[],MATCH(T_HA[[#This Row],[Codigo]],T_Info[Codigo],0),COLUMN(T_Info[Postensado])),"")</f>
        <v>No</v>
      </c>
      <c r="I83" s="30" t="str" cm="1">
        <f t="array" ref="I83">IF(INDEX(T_Info[],MATCH(T_HA[[#This Row],[Codigo]],T_Info[Codigo],0),COLUMN(T_Info[Losa Fundación]))&lt;&gt;"",INDEX(T_Info[],MATCH(T_HA[[#This Row],[Codigo]],T_Info[Codigo],0),COLUMN(T_Info[Losa Fundación])),"")</f>
        <v>No</v>
      </c>
      <c r="J83" s="32">
        <v>57.569999999999993</v>
      </c>
      <c r="K83" s="32">
        <v>0</v>
      </c>
      <c r="L83" s="32">
        <v>502.10000000000014</v>
      </c>
      <c r="M83" s="32">
        <v>502.10000000000014</v>
      </c>
      <c r="N83" s="32">
        <v>0</v>
      </c>
      <c r="O83" s="32">
        <v>15.610000000000003</v>
      </c>
      <c r="P83" s="32">
        <v>0</v>
      </c>
      <c r="Q83" s="32">
        <v>0</v>
      </c>
      <c r="R83" s="32">
        <v>524.53</v>
      </c>
      <c r="S83" s="32">
        <v>11.44332</v>
      </c>
      <c r="T83" s="32">
        <v>0</v>
      </c>
      <c r="U83" s="32">
        <v>1111.25332</v>
      </c>
      <c r="V83" s="57">
        <f>IFERROR(T_HA[[#This Row],[Fund m3]]/T_HA[[#This Row],[Superficie m2]],)</f>
        <v>1.506240025117082E-2</v>
      </c>
      <c r="W83" s="57">
        <f>IFERROR(T_HA[[#This Row],[Muros m3]]/T_HA[[#This Row],[Superficie m2]],)</f>
        <v>0.13136757280029307</v>
      </c>
      <c r="X83" s="57">
        <f>IFERROR(T_HA[[#This Row],[Muros Int m3]]/T_HA[[#This Row],[Superficie m2]],)</f>
        <v>0.13136757280029307</v>
      </c>
      <c r="Y83" s="57">
        <f>IFERROR(T_HA[[#This Row],[Perimetrales m3]]/T_HA[[#This Row],[Superficie m2]],)</f>
        <v>0</v>
      </c>
      <c r="Z83" s="57">
        <f>IFERROR(T_HA[[#This Row],[Vigas m3]]/T_HA[[#This Row],[Superficie m2]],)</f>
        <v>4.0841422254781412E-3</v>
      </c>
      <c r="AA83" s="57">
        <f>IFERROR(T_HA[[#This Row],[Losas m3]]/T_HA[[#This Row],[Superficie m2]],)</f>
        <v>0.13723607440935612</v>
      </c>
      <c r="AB83" s="57">
        <f>IFERROR(T_HA[[#This Row],[Total m3]]/T_HA[[#This Row],[Superficie m2]],)</f>
        <v>0.29074417728473878</v>
      </c>
    </row>
    <row r="84" spans="1:28" x14ac:dyDescent="0.25">
      <c r="A84" s="34">
        <v>22017</v>
      </c>
      <c r="B84" s="31" t="str" cm="1">
        <f t="array" ref="B84">INDEX(T_Info[],MATCH(T_HA[[#This Row],[Codigo]],T_Info[Codigo],0),COLUMN(T_Info[Proyecto]))</f>
        <v>Edificio 6 La Granja</v>
      </c>
      <c r="C84" s="30" t="str" cm="1">
        <f t="array" ref="C84">INDEX(T_Info[],MATCH(T_HA[[#This Row],[Codigo]],T_Info[Codigo],0),COLUMN(T_Info[T.S]))</f>
        <v>B</v>
      </c>
      <c r="D84" s="34" cm="1">
        <f t="array" ref="D84">INDEX(T_Info[],MATCH(T_HA[[#This Row],[Codigo]],T_Info[Codigo],0),COLUMN(T_Info[Z.S]))</f>
        <v>2</v>
      </c>
      <c r="E84" s="34" cm="1">
        <f t="array" ref="E84">INDEX(T_Info[],MATCH(T_HA[[#This Row],[Codigo]],T_Info[Codigo],0),COLUMN(T_Info[Pisos]))</f>
        <v>11</v>
      </c>
      <c r="F84" s="34" cm="1">
        <f t="array" ref="F84">INDEX(T_Info[],MATCH(T_HA[[#This Row],[Codigo]],T_Info[Codigo],0),COLUMN(T_Info[Subt.]))</f>
        <v>0</v>
      </c>
      <c r="G84" s="35" cm="1">
        <f t="array" ref="G84">INDEX(T_Info[],MATCH(T_HA[[#This Row],[Codigo]],T_Info[Codigo],0),COLUMN(T_Info[Superficie m2]))</f>
        <v>4581.3</v>
      </c>
      <c r="H84" s="30" t="str" cm="1">
        <f t="array" ref="H84">IF(INDEX(T_Info[],MATCH(T_HA[[#This Row],[Codigo]],T_Info[Codigo],0),COLUMN(T_Info[Postensado]))&lt;&gt;"",INDEX(T_Info[],MATCH(T_HA[[#This Row],[Codigo]],T_Info[Codigo],0),COLUMN(T_Info[Postensado])),"")</f>
        <v>No</v>
      </c>
      <c r="I84" s="30" t="str" cm="1">
        <f t="array" ref="I84">IF(INDEX(T_Info[],MATCH(T_HA[[#This Row],[Codigo]],T_Info[Codigo],0),COLUMN(T_Info[Losa Fundación]))&lt;&gt;"",INDEX(T_Info[],MATCH(T_HA[[#This Row],[Codigo]],T_Info[Codigo],0),COLUMN(T_Info[Losa Fundación])),"")</f>
        <v>No</v>
      </c>
      <c r="J84" s="32">
        <v>66.3</v>
      </c>
      <c r="K84" s="32">
        <v>0</v>
      </c>
      <c r="L84" s="32">
        <v>583.1</v>
      </c>
      <c r="M84" s="32">
        <v>583.1</v>
      </c>
      <c r="N84" s="32">
        <v>0</v>
      </c>
      <c r="O84" s="32">
        <v>18.399999999999999</v>
      </c>
      <c r="P84" s="32">
        <v>0</v>
      </c>
      <c r="Q84" s="32">
        <v>0</v>
      </c>
      <c r="R84" s="32">
        <v>631.6</v>
      </c>
      <c r="S84" s="32">
        <v>11.4</v>
      </c>
      <c r="T84" s="32">
        <v>0</v>
      </c>
      <c r="U84" s="32">
        <v>1310.8000000000002</v>
      </c>
      <c r="V84" s="57">
        <f>IFERROR(T_HA[[#This Row],[Fund m3]]/T_HA[[#This Row],[Superficie m2]],)</f>
        <v>1.447187479536376E-2</v>
      </c>
      <c r="W84" s="57">
        <f>IFERROR(T_HA[[#This Row],[Muros m3]]/T_HA[[#This Row],[Superficie m2]],)</f>
        <v>0.12727828345666078</v>
      </c>
      <c r="X84" s="57">
        <f>IFERROR(T_HA[[#This Row],[Muros Int m3]]/T_HA[[#This Row],[Superficie m2]],)</f>
        <v>0.12727828345666078</v>
      </c>
      <c r="Y84" s="57">
        <f>IFERROR(T_HA[[#This Row],[Perimetrales m3]]/T_HA[[#This Row],[Superficie m2]],)</f>
        <v>0</v>
      </c>
      <c r="Z84" s="57">
        <f>IFERROR(T_HA[[#This Row],[Vigas m3]]/T_HA[[#This Row],[Superficie m2]],)</f>
        <v>4.0163272433588713E-3</v>
      </c>
      <c r="AA84" s="57">
        <f>IFERROR(T_HA[[#This Row],[Losas m3]]/T_HA[[#This Row],[Superficie m2]],)</f>
        <v>0.13786479820138389</v>
      </c>
      <c r="AB84" s="57">
        <f>IFERROR(T_HA[[#This Row],[Total m3]]/T_HA[[#This Row],[Superficie m2]],)</f>
        <v>0.28611966035841357</v>
      </c>
    </row>
    <row r="85" spans="1:28" x14ac:dyDescent="0.25">
      <c r="A85" s="34">
        <v>20021</v>
      </c>
      <c r="B85" s="31" t="str" cm="1">
        <f t="array" ref="B85">INDEX(T_Info[],MATCH(T_HA[[#This Row],[Codigo]],T_Info[Codigo],0),COLUMN(T_Info[Proyecto]))</f>
        <v>Alderete Cook - Torre B</v>
      </c>
      <c r="C85" s="30" t="str" cm="1">
        <f t="array" ref="C85">INDEX(T_Info[],MATCH(T_HA[[#This Row],[Codigo]],T_Info[Codigo],0),COLUMN(T_Info[T.S]))</f>
        <v>B</v>
      </c>
      <c r="D85" s="34" cm="1">
        <f t="array" ref="D85">INDEX(T_Info[],MATCH(T_HA[[#This Row],[Codigo]],T_Info[Codigo],0),COLUMN(T_Info[Z.S]))</f>
        <v>2</v>
      </c>
      <c r="E85" s="34" cm="1">
        <f t="array" ref="E85">INDEX(T_Info[],MATCH(T_HA[[#This Row],[Codigo]],T_Info[Codigo],0),COLUMN(T_Info[Pisos]))</f>
        <v>12</v>
      </c>
      <c r="F85" s="34" cm="1">
        <f t="array" ref="F85">INDEX(T_Info[],MATCH(T_HA[[#This Row],[Codigo]],T_Info[Codigo],0),COLUMN(T_Info[Subt.]))</f>
        <v>2</v>
      </c>
      <c r="G85" s="35" cm="1">
        <f t="array" ref="G85">INDEX(T_Info[],MATCH(T_HA[[#This Row],[Codigo]],T_Info[Codigo],0),COLUMN(T_Info[Superficie m2]))</f>
        <v>12548.419999999998</v>
      </c>
      <c r="H85" s="30" t="str" cm="1">
        <f t="array" ref="H85">IF(INDEX(T_Info[],MATCH(T_HA[[#This Row],[Codigo]],T_Info[Codigo],0),COLUMN(T_Info[Postensado]))&lt;&gt;"",INDEX(T_Info[],MATCH(T_HA[[#This Row],[Codigo]],T_Info[Codigo],0),COLUMN(T_Info[Postensado])),"")</f>
        <v>No</v>
      </c>
      <c r="I85" s="30" t="str" cm="1">
        <f t="array" ref="I85">IF(INDEX(T_Info[],MATCH(T_HA[[#This Row],[Codigo]],T_Info[Codigo],0),COLUMN(T_Info[Losa Fundación]))&lt;&gt;"",INDEX(T_Info[],MATCH(T_HA[[#This Row],[Codigo]],T_Info[Codigo],0),COLUMN(T_Info[Losa Fundación])),"")</f>
        <v>No</v>
      </c>
      <c r="J85" s="32">
        <v>300.17000000000007</v>
      </c>
      <c r="K85" s="32">
        <v>0</v>
      </c>
      <c r="L85" s="32">
        <v>1715.8799999999987</v>
      </c>
      <c r="M85" s="32">
        <v>1627.4599999999987</v>
      </c>
      <c r="N85" s="32">
        <v>88.42</v>
      </c>
      <c r="O85" s="32">
        <v>271.45000000000039</v>
      </c>
      <c r="P85" s="32">
        <v>0</v>
      </c>
      <c r="Q85" s="32">
        <v>0</v>
      </c>
      <c r="R85" s="32">
        <v>2160.6899999999982</v>
      </c>
      <c r="S85" s="32">
        <v>0</v>
      </c>
      <c r="T85" s="32">
        <v>0</v>
      </c>
      <c r="U85" s="32">
        <v>4448.1899999999969</v>
      </c>
      <c r="V85" s="57">
        <f>IFERROR(T_HA[[#This Row],[Fund m3]]/T_HA[[#This Row],[Superficie m2]],)</f>
        <v>2.3920939847407095E-2</v>
      </c>
      <c r="W85" s="57">
        <f>IFERROR(T_HA[[#This Row],[Muros m3]]/T_HA[[#This Row],[Superficie m2]],)</f>
        <v>0.13674072114258201</v>
      </c>
      <c r="X85" s="57">
        <f>IFERROR(T_HA[[#This Row],[Muros Int m3]]/T_HA[[#This Row],[Superficie m2]],)</f>
        <v>0.12969441571130061</v>
      </c>
      <c r="Y85" s="57">
        <f>IFERROR(T_HA[[#This Row],[Perimetrales m3]]/T_HA[[#This Row],[Superficie m2]],)</f>
        <v>7.0463054312813892E-3</v>
      </c>
      <c r="Z85" s="57">
        <f>IFERROR(T_HA[[#This Row],[Vigas m3]]/T_HA[[#This Row],[Superficie m2]],)</f>
        <v>2.1632205488818546E-2</v>
      </c>
      <c r="AA85" s="57">
        <f>IFERROR(T_HA[[#This Row],[Losas m3]]/T_HA[[#This Row],[Superficie m2]],)</f>
        <v>0.17218821174299223</v>
      </c>
      <c r="AB85" s="57">
        <f>IFERROR(T_HA[[#This Row],[Total m3]]/T_HA[[#This Row],[Superficie m2]],)</f>
        <v>0.35448207822179983</v>
      </c>
    </row>
  </sheetData>
  <phoneticPr fontId="4" type="noConversion"/>
  <conditionalFormatting sqref="A2:A85">
    <cfRule type="duplicateValues" dxfId="1" priority="157"/>
  </conditionalFormatting>
  <conditionalFormatting sqref="AB2:AB85">
    <cfRule type="dataBar" priority="15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{8FDBA1AE-DC49-4A34-BB94-BF6A589B9075}</x14:id>
        </ext>
      </extLst>
    </cfRule>
  </conditionalFormatting>
  <conditionalFormatting sqref="V2:V85">
    <cfRule type="dataBar" priority="159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{3C2C0D1A-E273-4E44-B9DA-F08FBA6118E8}</x14:id>
        </ext>
      </extLst>
    </cfRule>
  </conditionalFormatting>
  <conditionalFormatting sqref="W2:W85">
    <cfRule type="dataBar" priority="160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{942BEE39-EF2B-4D4E-9E6C-967103CB71E5}</x14:id>
        </ext>
      </extLst>
    </cfRule>
  </conditionalFormatting>
  <conditionalFormatting sqref="X2:X85">
    <cfRule type="dataBar" priority="16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{C6A9B8C0-EB5A-4731-BFDB-F5F49CBE5B81}</x14:id>
        </ext>
      </extLst>
    </cfRule>
  </conditionalFormatting>
  <conditionalFormatting sqref="Y2:Y85">
    <cfRule type="dataBar" priority="162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{3C29BB59-E2D3-4DE7-AA8B-26D14F23B575}</x14:id>
        </ext>
      </extLst>
    </cfRule>
  </conditionalFormatting>
  <conditionalFormatting sqref="Z2:Z85">
    <cfRule type="dataBar" priority="163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{2AC76261-BF95-4F2B-B99E-9FAA8337B92C}</x14:id>
        </ext>
      </extLst>
    </cfRule>
  </conditionalFormatting>
  <conditionalFormatting sqref="AA2:AA85">
    <cfRule type="dataBar" priority="164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{8F8940A2-8DD3-42AD-84C7-8725F090873E}</x14:id>
        </ext>
      </extLst>
    </cfRule>
  </conditionalFormatting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FDBA1AE-DC49-4A34-BB94-BF6A589B907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AB2:AB85</xm:sqref>
        </x14:conditionalFormatting>
        <x14:conditionalFormatting xmlns:xm="http://schemas.microsoft.com/office/excel/2006/main">
          <x14:cfRule type="dataBar" id="{3C2C0D1A-E273-4E44-B9DA-F08FBA6118E8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V2:V85</xm:sqref>
        </x14:conditionalFormatting>
        <x14:conditionalFormatting xmlns:xm="http://schemas.microsoft.com/office/excel/2006/main">
          <x14:cfRule type="dataBar" id="{942BEE39-EF2B-4D4E-9E6C-967103CB71E5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W2:W85</xm:sqref>
        </x14:conditionalFormatting>
        <x14:conditionalFormatting xmlns:xm="http://schemas.microsoft.com/office/excel/2006/main">
          <x14:cfRule type="dataBar" id="{C6A9B8C0-EB5A-4731-BFDB-F5F49CBE5B81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X2:X85</xm:sqref>
        </x14:conditionalFormatting>
        <x14:conditionalFormatting xmlns:xm="http://schemas.microsoft.com/office/excel/2006/main">
          <x14:cfRule type="dataBar" id="{3C29BB59-E2D3-4DE7-AA8B-26D14F23B575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Y2:Y85</xm:sqref>
        </x14:conditionalFormatting>
        <x14:conditionalFormatting xmlns:xm="http://schemas.microsoft.com/office/excel/2006/main">
          <x14:cfRule type="dataBar" id="{2AC76261-BF95-4F2B-B99E-9FAA8337B92C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Z2:Z85</xm:sqref>
        </x14:conditionalFormatting>
        <x14:conditionalFormatting xmlns:xm="http://schemas.microsoft.com/office/excel/2006/main">
          <x14:cfRule type="dataBar" id="{8F8940A2-8DD3-42AD-84C7-8725F090873E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AA2:AA85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2D6D6D-690D-4284-91A6-30839B99E74B}">
  <dimension ref="A1:AA85"/>
  <sheetViews>
    <sheetView zoomScale="85" zoomScaleNormal="85" workbookViewId="0">
      <pane xSplit="2" ySplit="1" topLeftCell="C53" activePane="bottomRight" state="frozen"/>
      <selection pane="topRight" activeCell="C1" sqref="C1"/>
      <selection pane="bottomLeft" activeCell="A2" sqref="A2"/>
      <selection pane="bottomRight" activeCell="M102" sqref="M102"/>
    </sheetView>
  </sheetViews>
  <sheetFormatPr defaultColWidth="11.42578125" defaultRowHeight="15" x14ac:dyDescent="0.25"/>
  <cols>
    <col min="1" max="1" width="9.42578125" bestFit="1" customWidth="1"/>
    <col min="2" max="2" width="25" bestFit="1" customWidth="1"/>
    <col min="3" max="4" width="6.42578125" bestFit="1" customWidth="1"/>
    <col min="5" max="6" width="8" bestFit="1" customWidth="1"/>
    <col min="7" max="7" width="15.140625" bestFit="1" customWidth="1"/>
    <col min="8" max="8" width="13.5703125" bestFit="1" customWidth="1"/>
    <col min="9" max="9" width="16.7109375" bestFit="1" customWidth="1"/>
    <col min="10" max="11" width="10.42578125" bestFit="1" customWidth="1"/>
    <col min="12" max="12" width="11.5703125" bestFit="1" customWidth="1"/>
    <col min="13" max="13" width="17.140625" bestFit="1" customWidth="1"/>
    <col min="14" max="14" width="10.85546875" bestFit="1" customWidth="1"/>
    <col min="15" max="15" width="17.85546875" bestFit="1" customWidth="1"/>
    <col min="16" max="16" width="18.140625" bestFit="1" customWidth="1"/>
    <col min="17" max="17" width="10.85546875" bestFit="1" customWidth="1"/>
    <col min="18" max="18" width="16" bestFit="1" customWidth="1"/>
    <col min="19" max="19" width="14.140625" bestFit="1" customWidth="1"/>
    <col min="20" max="20" width="14.140625" customWidth="1"/>
    <col min="21" max="21" width="11.7109375" bestFit="1" customWidth="1"/>
    <col min="22" max="22" width="13.5703125" bestFit="1" customWidth="1"/>
    <col min="23" max="23" width="14.7109375" bestFit="1" customWidth="1"/>
    <col min="24" max="24" width="20.5703125" bestFit="1" customWidth="1"/>
    <col min="25" max="26" width="14.140625" bestFit="1" customWidth="1"/>
    <col min="27" max="27" width="13.7109375" bestFit="1" customWidth="1"/>
  </cols>
  <sheetData>
    <row r="1" spans="1:27" ht="17.25" x14ac:dyDescent="0.25">
      <c r="A1" s="5" t="s">
        <v>146</v>
      </c>
      <c r="B1" s="28" t="s">
        <v>7</v>
      </c>
      <c r="C1" s="28" t="s">
        <v>77</v>
      </c>
      <c r="D1" s="28" t="s">
        <v>76</v>
      </c>
      <c r="E1" s="28" t="s">
        <v>79</v>
      </c>
      <c r="F1" s="28" t="s">
        <v>78</v>
      </c>
      <c r="G1" s="28" t="s">
        <v>220</v>
      </c>
      <c r="H1" s="28" t="s">
        <v>141</v>
      </c>
      <c r="I1" s="28" t="s">
        <v>142</v>
      </c>
      <c r="J1" s="5" t="s">
        <v>103</v>
      </c>
      <c r="K1" s="5" t="s">
        <v>197</v>
      </c>
      <c r="L1" s="5" t="s">
        <v>104</v>
      </c>
      <c r="M1" s="5" t="s">
        <v>109</v>
      </c>
      <c r="N1" s="5" t="s">
        <v>105</v>
      </c>
      <c r="O1" s="5" t="s">
        <v>111</v>
      </c>
      <c r="P1" s="5" t="s">
        <v>110</v>
      </c>
      <c r="Q1" s="5" t="s">
        <v>106</v>
      </c>
      <c r="R1" s="5" t="s">
        <v>196</v>
      </c>
      <c r="S1" s="5" t="s">
        <v>107</v>
      </c>
      <c r="T1" s="5" t="s">
        <v>247</v>
      </c>
      <c r="U1" s="29" t="s">
        <v>108</v>
      </c>
      <c r="V1" s="88" t="s">
        <v>228</v>
      </c>
      <c r="W1" s="88" t="s">
        <v>229</v>
      </c>
      <c r="X1" s="88" t="s">
        <v>230</v>
      </c>
      <c r="Y1" s="88" t="s">
        <v>231</v>
      </c>
      <c r="Z1" s="88" t="s">
        <v>232</v>
      </c>
      <c r="AA1" s="36" t="s">
        <v>233</v>
      </c>
    </row>
    <row r="2" spans="1:27" x14ac:dyDescent="0.25">
      <c r="A2" s="30">
        <v>12110</v>
      </c>
      <c r="B2" s="31" t="e" cm="1">
        <f t="array" ref="B2">INDEX(T_Info[],MATCH(T_Fe[[#This Row],[Codigo]],T_Info[Codigo],0),COLUMN(T_Info[Proyecto]))</f>
        <v>#N/A</v>
      </c>
      <c r="C2" s="30" t="e" cm="1">
        <f t="array" ref="C2">INDEX(T_Info[],MATCH(T_Fe[[#This Row],[Codigo]],T_Info[Codigo],0),COLUMN(T_Info[T.S]))</f>
        <v>#N/A</v>
      </c>
      <c r="D2" s="30" t="e" cm="1">
        <f t="array" ref="D2">INDEX(T_Info[],MATCH(T_Fe[[#This Row],[Codigo]],T_Info[Codigo],0),COLUMN(T_Info[Z.S]))</f>
        <v>#N/A</v>
      </c>
      <c r="E2" s="30" t="e" cm="1">
        <f t="array" ref="E2">INDEX(T_Info[],MATCH(T_Fe[[#This Row],[Codigo]],T_Info[Codigo],0),COLUMN(T_Info[Pisos]))</f>
        <v>#N/A</v>
      </c>
      <c r="F2" s="30" t="e" cm="1">
        <f t="array" ref="F2">INDEX(T_Info[],MATCH(T_Fe[[#This Row],[Codigo]],T_Info[Codigo],0),COLUMN(T_Info[Subt.]))</f>
        <v>#N/A</v>
      </c>
      <c r="G2" s="32" t="e" cm="1">
        <f t="array" ref="G2">INDEX(T_Info[],MATCH(T_Fe[[#This Row],[Codigo]],T_Info[Codigo],0),COLUMN(T_Info[Superficie m2]))</f>
        <v>#N/A</v>
      </c>
      <c r="H2" s="30" t="e" cm="1">
        <f t="array" ref="H2">IF(INDEX(T_Info[],MATCH(T_Fe[[#This Row],[Codigo]],T_Info[Codigo],0),COLUMN(T_Info[Postensado]))&lt;&gt;"",INDEX(T_Info[],MATCH(T_Fe[[#This Row],[Codigo]],T_Info[Codigo],0),COLUMN(T_Info[Postensado])),"")</f>
        <v>#N/A</v>
      </c>
      <c r="I2" s="30" t="e" cm="1">
        <f t="array" ref="I2">IF(INDEX(T_Info[],MATCH(T_Fe[[#This Row],[Codigo]],T_Info[Codigo],0),COLUMN(T_Info[Losa Fundación]))&lt;&gt;"",INDEX(T_Info[],MATCH(T_Fe[[#This Row],[Codigo]],T_Info[Codigo],0),COLUMN(T_Info[Losa Fundación])),"")</f>
        <v>#N/A</v>
      </c>
      <c r="J2" s="33">
        <v>181438.93</v>
      </c>
      <c r="K2" s="33">
        <v>0</v>
      </c>
      <c r="L2" s="33">
        <v>625372.40000000014</v>
      </c>
      <c r="M2" s="33">
        <v>0</v>
      </c>
      <c r="N2" s="33">
        <v>125774.5</v>
      </c>
      <c r="O2" s="33">
        <v>0</v>
      </c>
      <c r="P2" s="33">
        <v>0</v>
      </c>
      <c r="Q2" s="33">
        <v>176100.54</v>
      </c>
      <c r="R2" s="33"/>
      <c r="S2" s="33"/>
      <c r="T2" s="33"/>
      <c r="U2" s="33">
        <f>SUM(T_Fe[[#This Row],[Fund kg]:[Cierros kg]])</f>
        <v>1108686.3700000001</v>
      </c>
      <c r="V2" s="22">
        <f>IFERROR(T_Fe[[#This Row],[Fund kg]]/T_Fe[[#This Row],[Superficie m2]],)</f>
        <v>0</v>
      </c>
      <c r="W2" s="22">
        <f>IFERROR(T_Fe[[#This Row],[Muros kg]]/T_Fe[[#This Row],[Superficie m2]],)</f>
        <v>0</v>
      </c>
      <c r="X2" s="22">
        <f>IFERROR(T_Fe[[#This Row],[Perimetrales kg]]/T_Fe[[#This Row],[Superficie m2]],)</f>
        <v>0</v>
      </c>
      <c r="Y2" s="22">
        <f>IFERROR(T_Fe[[#This Row],[Vigas kg]]/T_Fe[[#This Row],[Superficie m2]],)</f>
        <v>0</v>
      </c>
      <c r="Z2" s="22">
        <f>IFERROR(T_Fe[[#This Row],[Losas kg]]/T_Fe[[#This Row],[Superficie m2]],)</f>
        <v>0</v>
      </c>
      <c r="AA2" s="22">
        <f>IFERROR(T_Fe[[#This Row],[Total kg]]/T_Fe[[#This Row],[Superficie m2]],)</f>
        <v>0</v>
      </c>
    </row>
    <row r="3" spans="1:27" x14ac:dyDescent="0.25">
      <c r="A3" s="30">
        <v>13014</v>
      </c>
      <c r="B3" s="31" t="str" cm="1">
        <f t="array" ref="B3">INDEX(T_Info[],MATCH(T_Fe[[#This Row],[Codigo]],T_Info[Codigo],0),COLUMN(T_Info[Proyecto]))</f>
        <v>Los Gomeros</v>
      </c>
      <c r="C3" s="30" t="str" cm="1">
        <f t="array" ref="C3">INDEX(T_Info[],MATCH(T_Fe[[#This Row],[Codigo]],T_Info[Codigo],0),COLUMN(T_Info[T.S]))</f>
        <v>B</v>
      </c>
      <c r="D3" s="30" cm="1">
        <f t="array" ref="D3">INDEX(T_Info[],MATCH(T_Fe[[#This Row],[Codigo]],T_Info[Codigo],0),COLUMN(T_Info[Z.S]))</f>
        <v>2</v>
      </c>
      <c r="E3" s="30" cm="1">
        <f t="array" ref="E3">INDEX(T_Info[],MATCH(T_Fe[[#This Row],[Codigo]],T_Info[Codigo],0),COLUMN(T_Info[Pisos]))</f>
        <v>6</v>
      </c>
      <c r="F3" s="30" cm="1">
        <f t="array" ref="F3">INDEX(T_Info[],MATCH(T_Fe[[#This Row],[Codigo]],T_Info[Codigo],0),COLUMN(T_Info[Subt.]))</f>
        <v>2</v>
      </c>
      <c r="G3" s="32" cm="1">
        <f t="array" ref="G3">INDEX(T_Info[],MATCH(T_Fe[[#This Row],[Codigo]],T_Info[Codigo],0),COLUMN(T_Info[Superficie m2]))</f>
        <v>8635</v>
      </c>
      <c r="H3" s="30" t="str" cm="1">
        <f t="array" ref="H3">IF(INDEX(T_Info[],MATCH(T_Fe[[#This Row],[Codigo]],T_Info[Codigo],0),COLUMN(T_Info[Postensado]))&lt;&gt;"",INDEX(T_Info[],MATCH(T_Fe[[#This Row],[Codigo]],T_Info[Codigo],0),COLUMN(T_Info[Postensado])),"")</f>
        <v/>
      </c>
      <c r="I3" s="30" t="str" cm="1">
        <f t="array" ref="I3">IF(INDEX(T_Info[],MATCH(T_Fe[[#This Row],[Codigo]],T_Info[Codigo],0),COLUMN(T_Info[Losa Fundación]))&lt;&gt;"",INDEX(T_Info[],MATCH(T_Fe[[#This Row],[Codigo]],T_Info[Codigo],0),COLUMN(T_Info[Losa Fundación])),"")</f>
        <v/>
      </c>
      <c r="J3" s="33">
        <v>6579.8620000000001</v>
      </c>
      <c r="K3" s="33">
        <v>0</v>
      </c>
      <c r="L3" s="33">
        <v>104913.0384</v>
      </c>
      <c r="M3" s="33">
        <v>0</v>
      </c>
      <c r="N3" s="33">
        <v>51263.880000000005</v>
      </c>
      <c r="O3" s="33">
        <v>0</v>
      </c>
      <c r="P3" s="33">
        <v>0</v>
      </c>
      <c r="Q3" s="33">
        <v>61002.080000000002</v>
      </c>
      <c r="R3" s="33"/>
      <c r="S3" s="33"/>
      <c r="T3" s="33"/>
      <c r="U3" s="33">
        <f>SUM(T_Fe[[#This Row],[Fund kg]:[Cierros kg]])</f>
        <v>223758.86040000001</v>
      </c>
      <c r="V3" s="22">
        <f>IFERROR(T_Fe[[#This Row],[Fund kg]]/T_Fe[[#This Row],[Superficie m2]],)</f>
        <v>0.76199907353792706</v>
      </c>
      <c r="W3" s="22">
        <f>IFERROR(T_Fe[[#This Row],[Muros kg]]/T_Fe[[#This Row],[Superficie m2]],)</f>
        <v>12.149743879559932</v>
      </c>
      <c r="X3" s="22">
        <f>IFERROR(T_Fe[[#This Row],[Perimetrales kg]]/T_Fe[[#This Row],[Superficie m2]],)</f>
        <v>0</v>
      </c>
      <c r="Y3" s="22">
        <f>IFERROR(T_Fe[[#This Row],[Vigas kg]]/T_Fe[[#This Row],[Superficie m2]],)</f>
        <v>5.9367550665894617</v>
      </c>
      <c r="Z3" s="22">
        <f>IFERROR(T_Fe[[#This Row],[Losas kg]]/T_Fe[[#This Row],[Superficie m2]],)</f>
        <v>7.0645141864504923</v>
      </c>
      <c r="AA3" s="22">
        <f>IFERROR(T_Fe[[#This Row],[Total kg]]/T_Fe[[#This Row],[Superficie m2]],)</f>
        <v>25.913012206137811</v>
      </c>
    </row>
    <row r="4" spans="1:27" x14ac:dyDescent="0.25">
      <c r="A4" s="30">
        <v>13015</v>
      </c>
      <c r="B4" s="31" t="str" cm="1">
        <f t="array" ref="B4">INDEX(T_Info[],MATCH(T_Fe[[#This Row],[Codigo]],T_Info[Codigo],0),COLUMN(T_Info[Proyecto]))</f>
        <v>Paula Jaraq.</v>
      </c>
      <c r="C4" s="30" t="str" cm="1">
        <f t="array" ref="C4">INDEX(T_Info[],MATCH(T_Fe[[#This Row],[Codigo]],T_Info[Codigo],0),COLUMN(T_Info[T.S]))</f>
        <v>D</v>
      </c>
      <c r="D4" s="30" cm="1">
        <f t="array" ref="D4">INDEX(T_Info[],MATCH(T_Fe[[#This Row],[Codigo]],T_Info[Codigo],0),COLUMN(T_Info[Z.S]))</f>
        <v>2</v>
      </c>
      <c r="E4" s="30" cm="1">
        <f t="array" ref="E4">INDEX(T_Info[],MATCH(T_Fe[[#This Row],[Codigo]],T_Info[Codigo],0),COLUMN(T_Info[Pisos]))</f>
        <v>11</v>
      </c>
      <c r="F4" s="30" cm="1">
        <f t="array" ref="F4">INDEX(T_Info[],MATCH(T_Fe[[#This Row],[Codigo]],T_Info[Codigo],0),COLUMN(T_Info[Subt.]))</f>
        <v>1</v>
      </c>
      <c r="G4" s="32" cm="1">
        <f t="array" ref="G4">INDEX(T_Info[],MATCH(T_Fe[[#This Row],[Codigo]],T_Info[Codigo],0),COLUMN(T_Info[Superficie m2]))</f>
        <v>9002</v>
      </c>
      <c r="H4" s="30" t="str" cm="1">
        <f t="array" ref="H4">IF(INDEX(T_Info[],MATCH(T_Fe[[#This Row],[Codigo]],T_Info[Codigo],0),COLUMN(T_Info[Postensado]))&lt;&gt;"",INDEX(T_Info[],MATCH(T_Fe[[#This Row],[Codigo]],T_Info[Codigo],0),COLUMN(T_Info[Postensado])),"")</f>
        <v/>
      </c>
      <c r="I4" s="30" t="str" cm="1">
        <f t="array" ref="I4">IF(INDEX(T_Info[],MATCH(T_Fe[[#This Row],[Codigo]],T_Info[Codigo],0),COLUMN(T_Info[Losa Fundación]))&lt;&gt;"",INDEX(T_Info[],MATCH(T_Fe[[#This Row],[Codigo]],T_Info[Codigo],0),COLUMN(T_Info[Losa Fundación])),"")</f>
        <v/>
      </c>
      <c r="J4" s="33">
        <v>63691.372166988098</v>
      </c>
      <c r="K4" s="33">
        <v>0</v>
      </c>
      <c r="L4" s="33">
        <v>142108.22030719268</v>
      </c>
      <c r="M4" s="33">
        <v>0</v>
      </c>
      <c r="N4" s="33">
        <v>42878.563438404599</v>
      </c>
      <c r="O4" s="33">
        <v>0</v>
      </c>
      <c r="P4" s="33">
        <v>0</v>
      </c>
      <c r="Q4" s="33">
        <v>121752.93925470892</v>
      </c>
      <c r="R4" s="33"/>
      <c r="S4" s="33"/>
      <c r="T4" s="33"/>
      <c r="U4" s="33">
        <f>SUM(T_Fe[[#This Row],[Fund kg]:[Cierros kg]])</f>
        <v>370431.09516729432</v>
      </c>
      <c r="V4" s="22">
        <f>IFERROR(T_Fe[[#This Row],[Fund kg]]/T_Fe[[#This Row],[Superficie m2]],)</f>
        <v>7.0752468525869912</v>
      </c>
      <c r="W4" s="22">
        <f>IFERROR(T_Fe[[#This Row],[Muros kg]]/T_Fe[[#This Row],[Superficie m2]],)</f>
        <v>15.786294190978969</v>
      </c>
      <c r="X4" s="22">
        <f>IFERROR(T_Fe[[#This Row],[Perimetrales kg]]/T_Fe[[#This Row],[Superficie m2]],)</f>
        <v>0</v>
      </c>
      <c r="Y4" s="22">
        <f>IFERROR(T_Fe[[#This Row],[Vigas kg]]/T_Fe[[#This Row],[Superficie m2]],)</f>
        <v>4.7632263317490109</v>
      </c>
      <c r="Z4" s="22">
        <f>IFERROR(T_Fe[[#This Row],[Losas kg]]/T_Fe[[#This Row],[Superficie m2]],)</f>
        <v>13.52509878412674</v>
      </c>
      <c r="AA4" s="22">
        <f>IFERROR(T_Fe[[#This Row],[Total kg]]/T_Fe[[#This Row],[Superficie m2]],)</f>
        <v>41.149866159441714</v>
      </c>
    </row>
    <row r="5" spans="1:27" x14ac:dyDescent="0.25">
      <c r="A5" s="30">
        <v>13044</v>
      </c>
      <c r="B5" s="31" t="str" cm="1">
        <f t="array" ref="B5">INDEX(T_Info[],MATCH(T_Fe[[#This Row],[Codigo]],T_Info[Codigo],0),COLUMN(T_Info[Proyecto]))</f>
        <v>Bello Horizonte</v>
      </c>
      <c r="C5" s="30" t="str" cm="1">
        <f t="array" ref="C5">INDEX(T_Info[],MATCH(T_Fe[[#This Row],[Codigo]],T_Info[Codigo],0),COLUMN(T_Info[T.S]))</f>
        <v>B</v>
      </c>
      <c r="D5" s="30" cm="1">
        <f t="array" ref="D5">INDEX(T_Info[],MATCH(T_Fe[[#This Row],[Codigo]],T_Info[Codigo],0),COLUMN(T_Info[Z.S]))</f>
        <v>2</v>
      </c>
      <c r="E5" s="30" cm="1">
        <f t="array" ref="E5">INDEX(T_Info[],MATCH(T_Fe[[#This Row],[Codigo]],T_Info[Codigo],0),COLUMN(T_Info[Pisos]))</f>
        <v>10</v>
      </c>
      <c r="F5" s="30" cm="1">
        <f t="array" ref="F5">INDEX(T_Info[],MATCH(T_Fe[[#This Row],[Codigo]],T_Info[Codigo],0),COLUMN(T_Info[Subt.]))</f>
        <v>2</v>
      </c>
      <c r="G5" s="32" cm="1">
        <f t="array" ref="G5">INDEX(T_Info[],MATCH(T_Fe[[#This Row],[Codigo]],T_Info[Codigo],0),COLUMN(T_Info[Superficie m2]))</f>
        <v>18703</v>
      </c>
      <c r="H5" s="30" t="str" cm="1">
        <f t="array" ref="H5">IF(INDEX(T_Info[],MATCH(T_Fe[[#This Row],[Codigo]],T_Info[Codigo],0),COLUMN(T_Info[Postensado]))&lt;&gt;"",INDEX(T_Info[],MATCH(T_Fe[[#This Row],[Codigo]],T_Info[Codigo],0),COLUMN(T_Info[Postensado])),"")</f>
        <v/>
      </c>
      <c r="I5" s="30" t="str" cm="1">
        <f t="array" ref="I5">IF(INDEX(T_Info[],MATCH(T_Fe[[#This Row],[Codigo]],T_Info[Codigo],0),COLUMN(T_Info[Losa Fundación]))&lt;&gt;"",INDEX(T_Info[],MATCH(T_Fe[[#This Row],[Codigo]],T_Info[Codigo],0),COLUMN(T_Info[Losa Fundación])),"")</f>
        <v/>
      </c>
      <c r="J5" s="33">
        <v>7776.8859999999995</v>
      </c>
      <c r="K5" s="33">
        <v>0</v>
      </c>
      <c r="L5" s="33">
        <v>221894.74720000001</v>
      </c>
      <c r="M5" s="33">
        <v>0</v>
      </c>
      <c r="N5" s="33">
        <v>96379.306800000035</v>
      </c>
      <c r="O5" s="33">
        <v>0</v>
      </c>
      <c r="P5" s="33">
        <v>0</v>
      </c>
      <c r="Q5" s="33">
        <v>237945.12803999984</v>
      </c>
      <c r="R5" s="33"/>
      <c r="S5" s="33"/>
      <c r="T5" s="33"/>
      <c r="U5" s="33">
        <f>SUM(T_Fe[[#This Row],[Fund kg]:[Cierros kg]])</f>
        <v>563996.06803999993</v>
      </c>
      <c r="V5" s="22">
        <f>IFERROR(T_Fe[[#This Row],[Fund kg]]/T_Fe[[#This Row],[Superficie m2]],)</f>
        <v>0.41580954927017055</v>
      </c>
      <c r="W5" s="22">
        <f>IFERROR(T_Fe[[#This Row],[Muros kg]]/T_Fe[[#This Row],[Superficie m2]],)</f>
        <v>11.86412592632198</v>
      </c>
      <c r="X5" s="22">
        <f>IFERROR(T_Fe[[#This Row],[Perimetrales kg]]/T_Fe[[#This Row],[Superficie m2]],)</f>
        <v>0</v>
      </c>
      <c r="Y5" s="22">
        <f>IFERROR(T_Fe[[#This Row],[Vigas kg]]/T_Fe[[#This Row],[Superficie m2]],)</f>
        <v>5.1531469176068025</v>
      </c>
      <c r="Z5" s="22">
        <f>IFERROR(T_Fe[[#This Row],[Losas kg]]/T_Fe[[#This Row],[Superficie m2]],)</f>
        <v>12.72229738758487</v>
      </c>
      <c r="AA5" s="22">
        <f>IFERROR(T_Fe[[#This Row],[Total kg]]/T_Fe[[#This Row],[Superficie m2]],)</f>
        <v>30.155379780783829</v>
      </c>
    </row>
    <row r="6" spans="1:27" x14ac:dyDescent="0.25">
      <c r="A6" s="30">
        <v>13052</v>
      </c>
      <c r="B6" s="31" t="str" cm="1">
        <f t="array" ref="B6">INDEX(T_Info[],MATCH(T_Fe[[#This Row],[Codigo]],T_Info[Codigo],0),COLUMN(T_Info[Proyecto]))</f>
        <v>Tocornal</v>
      </c>
      <c r="C6" s="30" t="str" cm="1">
        <f t="array" ref="C6">INDEX(T_Info[],MATCH(T_Fe[[#This Row],[Codigo]],T_Info[Codigo],0),COLUMN(T_Info[T.S]))</f>
        <v>B</v>
      </c>
      <c r="D6" s="30" cm="1">
        <f t="array" ref="D6">INDEX(T_Info[],MATCH(T_Fe[[#This Row],[Codigo]],T_Info[Codigo],0),COLUMN(T_Info[Z.S]))</f>
        <v>2</v>
      </c>
      <c r="E6" s="30" cm="1">
        <f t="array" ref="E6">INDEX(T_Info[],MATCH(T_Fe[[#This Row],[Codigo]],T_Info[Codigo],0),COLUMN(T_Info[Pisos]))</f>
        <v>9</v>
      </c>
      <c r="F6" s="30" cm="1">
        <f t="array" ref="F6">INDEX(T_Info[],MATCH(T_Fe[[#This Row],[Codigo]],T_Info[Codigo],0),COLUMN(T_Info[Subt.]))</f>
        <v>2</v>
      </c>
      <c r="G6" s="32" cm="1">
        <f t="array" ref="G6">INDEX(T_Info[],MATCH(T_Fe[[#This Row],[Codigo]],T_Info[Codigo],0),COLUMN(T_Info[Superficie m2]))</f>
        <v>9002</v>
      </c>
      <c r="H6" s="30" t="str" cm="1">
        <f t="array" ref="H6">IF(INDEX(T_Info[],MATCH(T_Fe[[#This Row],[Codigo]],T_Info[Codigo],0),COLUMN(T_Info[Postensado]))&lt;&gt;"",INDEX(T_Info[],MATCH(T_Fe[[#This Row],[Codigo]],T_Info[Codigo],0),COLUMN(T_Info[Postensado])),"")</f>
        <v/>
      </c>
      <c r="I6" s="30" t="str" cm="1">
        <f t="array" ref="I6">IF(INDEX(T_Info[],MATCH(T_Fe[[#This Row],[Codigo]],T_Info[Codigo],0),COLUMN(T_Info[Losa Fundación]))&lt;&gt;"",INDEX(T_Info[],MATCH(T_Fe[[#This Row],[Codigo]],T_Info[Codigo],0),COLUMN(T_Info[Losa Fundación])),"")</f>
        <v/>
      </c>
      <c r="J6" s="33">
        <v>5014.8200000000006</v>
      </c>
      <c r="K6" s="33">
        <v>0</v>
      </c>
      <c r="L6" s="33">
        <v>111473.61520000003</v>
      </c>
      <c r="M6" s="33">
        <v>0</v>
      </c>
      <c r="N6" s="33">
        <v>32888.200000000004</v>
      </c>
      <c r="O6" s="33">
        <v>0</v>
      </c>
      <c r="P6" s="33">
        <v>0</v>
      </c>
      <c r="Q6" s="33">
        <v>129151.34000000001</v>
      </c>
      <c r="R6" s="33"/>
      <c r="S6" s="33"/>
      <c r="T6" s="33"/>
      <c r="U6" s="33">
        <f>SUM(T_Fe[[#This Row],[Fund kg]:[Cierros kg]])</f>
        <v>278527.97520000004</v>
      </c>
      <c r="V6" s="22">
        <f>IFERROR(T_Fe[[#This Row],[Fund kg]]/T_Fe[[#This Row],[Superficie m2]],)</f>
        <v>0.55707842701621868</v>
      </c>
      <c r="W6" s="22">
        <f>IFERROR(T_Fe[[#This Row],[Muros kg]]/T_Fe[[#This Row],[Superficie m2]],)</f>
        <v>12.383205421017555</v>
      </c>
      <c r="X6" s="22">
        <f>IFERROR(T_Fe[[#This Row],[Perimetrales kg]]/T_Fe[[#This Row],[Superficie m2]],)</f>
        <v>0</v>
      </c>
      <c r="Y6" s="22">
        <f>IFERROR(T_Fe[[#This Row],[Vigas kg]]/T_Fe[[#This Row],[Superficie m2]],)</f>
        <v>3.6534325705398807</v>
      </c>
      <c r="Z6" s="22">
        <f>IFERROR(T_Fe[[#This Row],[Losas kg]]/T_Fe[[#This Row],[Superficie m2]],)</f>
        <v>14.346960675405466</v>
      </c>
      <c r="AA6" s="22">
        <f>IFERROR(T_Fe[[#This Row],[Total kg]]/T_Fe[[#This Row],[Superficie m2]],)</f>
        <v>30.940677093979122</v>
      </c>
    </row>
    <row r="7" spans="1:27" x14ac:dyDescent="0.25">
      <c r="A7" s="30">
        <v>13055</v>
      </c>
      <c r="B7" s="31" t="str" cm="1">
        <f t="array" ref="B7">INDEX(T_Info[],MATCH(T_Fe[[#This Row],[Codigo]],T_Info[Codigo],0),COLUMN(T_Info[Proyecto]))</f>
        <v>Talaveras</v>
      </c>
      <c r="C7" s="30" t="str" cm="1">
        <f t="array" ref="C7">INDEX(T_Info[],MATCH(T_Fe[[#This Row],[Codigo]],T_Info[Codigo],0),COLUMN(T_Info[T.S]))</f>
        <v>B</v>
      </c>
      <c r="D7" s="30" cm="1">
        <f t="array" ref="D7">INDEX(T_Info[],MATCH(T_Fe[[#This Row],[Codigo]],T_Info[Codigo],0),COLUMN(T_Info[Z.S]))</f>
        <v>2</v>
      </c>
      <c r="E7" s="30" cm="1">
        <f t="array" ref="E7">INDEX(T_Info[],MATCH(T_Fe[[#This Row],[Codigo]],T_Info[Codigo],0),COLUMN(T_Info[Pisos]))</f>
        <v>21</v>
      </c>
      <c r="F7" s="30" cm="1">
        <f t="array" ref="F7">INDEX(T_Info[],MATCH(T_Fe[[#This Row],[Codigo]],T_Info[Codigo],0),COLUMN(T_Info[Subt.]))</f>
        <v>4</v>
      </c>
      <c r="G7" s="32" cm="1">
        <f t="array" ref="G7">INDEX(T_Info[],MATCH(T_Fe[[#This Row],[Codigo]],T_Info[Codigo],0),COLUMN(T_Info[Superficie m2]))</f>
        <v>25900</v>
      </c>
      <c r="H7" s="30" t="str" cm="1">
        <f t="array" ref="H7">IF(INDEX(T_Info[],MATCH(T_Fe[[#This Row],[Codigo]],T_Info[Codigo],0),COLUMN(T_Info[Postensado]))&lt;&gt;"",INDEX(T_Info[],MATCH(T_Fe[[#This Row],[Codigo]],T_Info[Codigo],0),COLUMN(T_Info[Postensado])),"")</f>
        <v/>
      </c>
      <c r="I7" s="30" t="str" cm="1">
        <f t="array" ref="I7">IF(INDEX(T_Info[],MATCH(T_Fe[[#This Row],[Codigo]],T_Info[Codigo],0),COLUMN(T_Info[Losa Fundación]))&lt;&gt;"",INDEX(T_Info[],MATCH(T_Fe[[#This Row],[Codigo]],T_Info[Codigo],0),COLUMN(T_Info[Losa Fundación])),"")</f>
        <v/>
      </c>
      <c r="J7" s="33">
        <v>12302.654999999999</v>
      </c>
      <c r="K7" s="33">
        <v>0</v>
      </c>
      <c r="L7" s="33">
        <v>394978.89120000007</v>
      </c>
      <c r="M7" s="33">
        <v>0</v>
      </c>
      <c r="N7" s="33">
        <v>124234.5108</v>
      </c>
      <c r="O7" s="33">
        <v>0</v>
      </c>
      <c r="P7" s="33">
        <v>0</v>
      </c>
      <c r="Q7" s="33">
        <v>340204.4016000001</v>
      </c>
      <c r="R7" s="33"/>
      <c r="S7" s="33"/>
      <c r="T7" s="33"/>
      <c r="U7" s="33">
        <f>SUM(T_Fe[[#This Row],[Fund kg]:[Cierros kg]])</f>
        <v>871720.45860000025</v>
      </c>
      <c r="V7" s="22">
        <f>IFERROR(T_Fe[[#This Row],[Fund kg]]/T_Fe[[#This Row],[Superficie m2]],)</f>
        <v>0.47500598455598453</v>
      </c>
      <c r="W7" s="22">
        <f>IFERROR(T_Fe[[#This Row],[Muros kg]]/T_Fe[[#This Row],[Superficie m2]],)</f>
        <v>15.250150239382242</v>
      </c>
      <c r="X7" s="22">
        <f>IFERROR(T_Fe[[#This Row],[Perimetrales kg]]/T_Fe[[#This Row],[Superficie m2]],)</f>
        <v>0</v>
      </c>
      <c r="Y7" s="22">
        <f>IFERROR(T_Fe[[#This Row],[Vigas kg]]/T_Fe[[#This Row],[Superficie m2]],)</f>
        <v>4.7966992586872585</v>
      </c>
      <c r="Z7" s="22">
        <f>IFERROR(T_Fe[[#This Row],[Losas kg]]/T_Fe[[#This Row],[Superficie m2]],)</f>
        <v>13.135305081081086</v>
      </c>
      <c r="AA7" s="22">
        <f>IFERROR(T_Fe[[#This Row],[Total kg]]/T_Fe[[#This Row],[Superficie m2]],)</f>
        <v>33.657160563706576</v>
      </c>
    </row>
    <row r="8" spans="1:27" x14ac:dyDescent="0.25">
      <c r="A8" s="30">
        <v>13091</v>
      </c>
      <c r="B8" s="31" t="str" cm="1">
        <f t="array" ref="B8">INDEX(T_Info[],MATCH(T_Fe[[#This Row],[Codigo]],T_Info[Codigo],0),COLUMN(T_Info[Proyecto]))</f>
        <v>Lyon Bustos</v>
      </c>
      <c r="C8" s="30" t="str" cm="1">
        <f t="array" ref="C8">INDEX(T_Info[],MATCH(T_Fe[[#This Row],[Codigo]],T_Info[Codigo],0),COLUMN(T_Info[T.S]))</f>
        <v>B</v>
      </c>
      <c r="D8" s="30" cm="1">
        <f t="array" ref="D8">INDEX(T_Info[],MATCH(T_Fe[[#This Row],[Codigo]],T_Info[Codigo],0),COLUMN(T_Info[Z.S]))</f>
        <v>2</v>
      </c>
      <c r="E8" s="30" cm="1">
        <f t="array" ref="E8">INDEX(T_Info[],MATCH(T_Fe[[#This Row],[Codigo]],T_Info[Codigo],0),COLUMN(T_Info[Pisos]))</f>
        <v>12</v>
      </c>
      <c r="F8" s="30" cm="1">
        <f t="array" ref="F8">INDEX(T_Info[],MATCH(T_Fe[[#This Row],[Codigo]],T_Info[Codigo],0),COLUMN(T_Info[Subt.]))</f>
        <v>2</v>
      </c>
      <c r="G8" s="32" cm="1">
        <f t="array" ref="G8">INDEX(T_Info[],MATCH(T_Fe[[#This Row],[Codigo]],T_Info[Codigo],0),COLUMN(T_Info[Superficie m2]))</f>
        <v>14115</v>
      </c>
      <c r="H8" s="30" t="str" cm="1">
        <f t="array" ref="H8">IF(INDEX(T_Info[],MATCH(T_Fe[[#This Row],[Codigo]],T_Info[Codigo],0),COLUMN(T_Info[Postensado]))&lt;&gt;"",INDEX(T_Info[],MATCH(T_Fe[[#This Row],[Codigo]],T_Info[Codigo],0),COLUMN(T_Info[Postensado])),"")</f>
        <v/>
      </c>
      <c r="I8" s="30" t="str" cm="1">
        <f t="array" ref="I8">IF(INDEX(T_Info[],MATCH(T_Fe[[#This Row],[Codigo]],T_Info[Codigo],0),COLUMN(T_Info[Losa Fundación]))&lt;&gt;"",INDEX(T_Info[],MATCH(T_Fe[[#This Row],[Codigo]],T_Info[Codigo],0),COLUMN(T_Info[Losa Fundación])),"")</f>
        <v/>
      </c>
      <c r="J8" s="33">
        <v>16301.488000000001</v>
      </c>
      <c r="K8" s="33">
        <v>0</v>
      </c>
      <c r="L8" s="33">
        <v>190296.92920000004</v>
      </c>
      <c r="M8" s="33">
        <v>0</v>
      </c>
      <c r="N8" s="33">
        <v>70035.231799999994</v>
      </c>
      <c r="O8" s="33">
        <v>0</v>
      </c>
      <c r="P8" s="33">
        <v>0</v>
      </c>
      <c r="Q8" s="33">
        <v>235208.95420000001</v>
      </c>
      <c r="R8" s="33"/>
      <c r="S8" s="33"/>
      <c r="T8" s="33"/>
      <c r="U8" s="33">
        <f>SUM(T_Fe[[#This Row],[Fund kg]:[Cierros kg]])</f>
        <v>511842.60320000001</v>
      </c>
      <c r="V8" s="22">
        <f>IFERROR(T_Fe[[#This Row],[Fund kg]]/T_Fe[[#This Row],[Superficie m2]],)</f>
        <v>1.1549052780729721</v>
      </c>
      <c r="W8" s="22">
        <f>IFERROR(T_Fe[[#This Row],[Muros kg]]/T_Fe[[#This Row],[Superficie m2]],)</f>
        <v>13.481893673397098</v>
      </c>
      <c r="X8" s="22">
        <f>IFERROR(T_Fe[[#This Row],[Perimetrales kg]]/T_Fe[[#This Row],[Superficie m2]],)</f>
        <v>0</v>
      </c>
      <c r="Y8" s="22">
        <f>IFERROR(T_Fe[[#This Row],[Vigas kg]]/T_Fe[[#This Row],[Superficie m2]],)</f>
        <v>4.9617592490258584</v>
      </c>
      <c r="Z8" s="22">
        <f>IFERROR(T_Fe[[#This Row],[Losas kg]]/T_Fe[[#This Row],[Superficie m2]],)</f>
        <v>16.663758710591569</v>
      </c>
      <c r="AA8" s="22">
        <f>IFERROR(T_Fe[[#This Row],[Total kg]]/T_Fe[[#This Row],[Superficie m2]],)</f>
        <v>36.262316911087495</v>
      </c>
    </row>
    <row r="9" spans="1:27" x14ac:dyDescent="0.25">
      <c r="A9" s="30">
        <v>13117</v>
      </c>
      <c r="B9" s="31" t="str" cm="1">
        <f t="array" ref="B9">INDEX(T_Info[],MATCH(T_Fe[[#This Row],[Codigo]],T_Info[Codigo],0),COLUMN(T_Info[Proyecto]))</f>
        <v>Bartolo Soto</v>
      </c>
      <c r="C9" s="30" t="str" cm="1">
        <f t="array" ref="C9">INDEX(T_Info[],MATCH(T_Fe[[#This Row],[Codigo]],T_Info[Codigo],0),COLUMN(T_Info[T.S]))</f>
        <v>B</v>
      </c>
      <c r="D9" s="30" cm="1">
        <f t="array" ref="D9">INDEX(T_Info[],MATCH(T_Fe[[#This Row],[Codigo]],T_Info[Codigo],0),COLUMN(T_Info[Z.S]))</f>
        <v>2</v>
      </c>
      <c r="E9" s="30" cm="1">
        <f t="array" ref="E9">INDEX(T_Info[],MATCH(T_Fe[[#This Row],[Codigo]],T_Info[Codigo],0),COLUMN(T_Info[Pisos]))</f>
        <v>18</v>
      </c>
      <c r="F9" s="30" cm="1">
        <f t="array" ref="F9">INDEX(T_Info[],MATCH(T_Fe[[#This Row],[Codigo]],T_Info[Codigo],0),COLUMN(T_Info[Subt.]))</f>
        <v>3</v>
      </c>
      <c r="G9" s="32" cm="1">
        <f t="array" ref="G9">INDEX(T_Info[],MATCH(T_Fe[[#This Row],[Codigo]],T_Info[Codigo],0),COLUMN(T_Info[Superficie m2]))</f>
        <v>22577</v>
      </c>
      <c r="H9" s="30" t="str" cm="1">
        <f t="array" ref="H9">IF(INDEX(T_Info[],MATCH(T_Fe[[#This Row],[Codigo]],T_Info[Codigo],0),COLUMN(T_Info[Postensado]))&lt;&gt;"",INDEX(T_Info[],MATCH(T_Fe[[#This Row],[Codigo]],T_Info[Codigo],0),COLUMN(T_Info[Postensado])),"")</f>
        <v/>
      </c>
      <c r="I9" s="30" t="str" cm="1">
        <f t="array" ref="I9">IF(INDEX(T_Info[],MATCH(T_Fe[[#This Row],[Codigo]],T_Info[Codigo],0),COLUMN(T_Info[Losa Fundación]))&lt;&gt;"",INDEX(T_Info[],MATCH(T_Fe[[#This Row],[Codigo]],T_Info[Codigo],0),COLUMN(T_Info[Losa Fundación])),"")</f>
        <v/>
      </c>
      <c r="J9" s="33">
        <v>22290.33</v>
      </c>
      <c r="K9" s="33">
        <v>0</v>
      </c>
      <c r="L9" s="33">
        <v>296879.44</v>
      </c>
      <c r="M9" s="33">
        <v>0</v>
      </c>
      <c r="N9" s="33">
        <v>106222.19000000003</v>
      </c>
      <c r="O9" s="33">
        <v>0</v>
      </c>
      <c r="P9" s="33">
        <v>0</v>
      </c>
      <c r="Q9" s="33">
        <v>342780.18</v>
      </c>
      <c r="R9" s="33"/>
      <c r="S9" s="33"/>
      <c r="T9" s="33"/>
      <c r="U9" s="33">
        <f>SUM(T_Fe[[#This Row],[Fund kg]:[Cierros kg]])</f>
        <v>768172.14000000013</v>
      </c>
      <c r="V9" s="22">
        <f>IFERROR(T_Fe[[#This Row],[Fund kg]]/T_Fe[[#This Row],[Superficie m2]],)</f>
        <v>0.98730256455684995</v>
      </c>
      <c r="W9" s="22">
        <f>IFERROR(T_Fe[[#This Row],[Muros kg]]/T_Fe[[#This Row],[Superficie m2]],)</f>
        <v>13.149640784869558</v>
      </c>
      <c r="X9" s="22">
        <f>IFERROR(T_Fe[[#This Row],[Perimetrales kg]]/T_Fe[[#This Row],[Superficie m2]],)</f>
        <v>0</v>
      </c>
      <c r="Y9" s="22">
        <f>IFERROR(T_Fe[[#This Row],[Vigas kg]]/T_Fe[[#This Row],[Superficie m2]],)</f>
        <v>4.7048850600168324</v>
      </c>
      <c r="Z9" s="22">
        <f>IFERROR(T_Fe[[#This Row],[Losas kg]]/T_Fe[[#This Row],[Superficie m2]],)</f>
        <v>15.182716038446205</v>
      </c>
      <c r="AA9" s="22">
        <f>IFERROR(T_Fe[[#This Row],[Total kg]]/T_Fe[[#This Row],[Superficie m2]],)</f>
        <v>34.024544447889454</v>
      </c>
    </row>
    <row r="10" spans="1:27" x14ac:dyDescent="0.25">
      <c r="A10" s="30">
        <v>13119</v>
      </c>
      <c r="B10" s="31" t="str" cm="1">
        <f t="array" ref="B10">INDEX(T_Info[],MATCH(T_Fe[[#This Row],[Codigo]],T_Info[Codigo],0),COLUMN(T_Info[Proyecto]))</f>
        <v>Portugal</v>
      </c>
      <c r="C10" s="30" t="str" cm="1">
        <f t="array" ref="C10">INDEX(T_Info[],MATCH(T_Fe[[#This Row],[Codigo]],T_Info[Codigo],0),COLUMN(T_Info[T.S]))</f>
        <v>B</v>
      </c>
      <c r="D10" s="30" cm="1">
        <f t="array" ref="D10">INDEX(T_Info[],MATCH(T_Fe[[#This Row],[Codigo]],T_Info[Codigo],0),COLUMN(T_Info[Z.S]))</f>
        <v>2</v>
      </c>
      <c r="E10" s="30" cm="1">
        <f t="array" ref="E10">INDEX(T_Info[],MATCH(T_Fe[[#This Row],[Codigo]],T_Info[Codigo],0),COLUMN(T_Info[Pisos]))</f>
        <v>20</v>
      </c>
      <c r="F10" s="30" cm="1">
        <f t="array" ref="F10">INDEX(T_Info[],MATCH(T_Fe[[#This Row],[Codigo]],T_Info[Codigo],0),COLUMN(T_Info[Subt.]))</f>
        <v>3</v>
      </c>
      <c r="G10" s="32" cm="1">
        <f t="array" ref="G10">INDEX(T_Info[],MATCH(T_Fe[[#This Row],[Codigo]],T_Info[Codigo],0),COLUMN(T_Info[Superficie m2]))</f>
        <v>17646</v>
      </c>
      <c r="H10" s="30" t="str" cm="1">
        <f t="array" ref="H10">IF(INDEX(T_Info[],MATCH(T_Fe[[#This Row],[Codigo]],T_Info[Codigo],0),COLUMN(T_Info[Postensado]))&lt;&gt;"",INDEX(T_Info[],MATCH(T_Fe[[#This Row],[Codigo]],T_Info[Codigo],0),COLUMN(T_Info[Postensado])),"")</f>
        <v/>
      </c>
      <c r="I10" s="30" t="str" cm="1">
        <f t="array" ref="I10">IF(INDEX(T_Info[],MATCH(T_Fe[[#This Row],[Codigo]],T_Info[Codigo],0),COLUMN(T_Info[Losa Fundación]))&lt;&gt;"",INDEX(T_Info[],MATCH(T_Fe[[#This Row],[Codigo]],T_Info[Codigo],0),COLUMN(T_Info[Losa Fundación])),"")</f>
        <v/>
      </c>
      <c r="J10" s="33">
        <v>12469.749333847139</v>
      </c>
      <c r="K10" s="33">
        <v>0</v>
      </c>
      <c r="L10" s="33">
        <v>246394.46368092665</v>
      </c>
      <c r="M10" s="33">
        <v>0</v>
      </c>
      <c r="N10" s="33">
        <v>65071.851237383911</v>
      </c>
      <c r="O10" s="33">
        <v>0</v>
      </c>
      <c r="P10" s="33">
        <v>0</v>
      </c>
      <c r="Q10" s="33">
        <v>262336.07333971822</v>
      </c>
      <c r="R10" s="33"/>
      <c r="S10" s="33"/>
      <c r="T10" s="33"/>
      <c r="U10" s="33">
        <f>SUM(T_Fe[[#This Row],[Fund kg]:[Cierros kg]])</f>
        <v>586272.13759187586</v>
      </c>
      <c r="V10" s="22">
        <f>IFERROR(T_Fe[[#This Row],[Fund kg]]/T_Fe[[#This Row],[Superficie m2]],)</f>
        <v>0.7066615286097212</v>
      </c>
      <c r="W10" s="22">
        <f>IFERROR(T_Fe[[#This Row],[Muros kg]]/T_Fe[[#This Row],[Superficie m2]],)</f>
        <v>13.963190733363179</v>
      </c>
      <c r="X10" s="22">
        <f>IFERROR(T_Fe[[#This Row],[Perimetrales kg]]/T_Fe[[#This Row],[Superficie m2]],)</f>
        <v>0</v>
      </c>
      <c r="Y10" s="22">
        <f>IFERROR(T_Fe[[#This Row],[Vigas kg]]/T_Fe[[#This Row],[Superficie m2]],)</f>
        <v>3.687626161021416</v>
      </c>
      <c r="Z10" s="22">
        <f>IFERROR(T_Fe[[#This Row],[Losas kg]]/T_Fe[[#This Row],[Superficie m2]],)</f>
        <v>14.866602818753158</v>
      </c>
      <c r="AA10" s="22">
        <f>IFERROR(T_Fe[[#This Row],[Total kg]]/T_Fe[[#This Row],[Superficie m2]],)</f>
        <v>33.22408124174747</v>
      </c>
    </row>
    <row r="11" spans="1:27" x14ac:dyDescent="0.25">
      <c r="A11" s="30">
        <v>14023</v>
      </c>
      <c r="B11" s="31" t="str" cm="1">
        <f t="array" ref="B11">INDEX(T_Info[],MATCH(T_Fe[[#This Row],[Codigo]],T_Info[Codigo],0),COLUMN(T_Info[Proyecto]))</f>
        <v>Plaza Almeyda</v>
      </c>
      <c r="C11" s="30" t="str" cm="1">
        <f t="array" ref="C11">INDEX(T_Info[],MATCH(T_Fe[[#This Row],[Codigo]],T_Info[Codigo],0),COLUMN(T_Info[T.S]))</f>
        <v>C</v>
      </c>
      <c r="D11" s="30" cm="1">
        <f t="array" ref="D11">INDEX(T_Info[],MATCH(T_Fe[[#This Row],[Codigo]],T_Info[Codigo],0),COLUMN(T_Info[Z.S]))</f>
        <v>2</v>
      </c>
      <c r="E11" s="30" cm="1">
        <f t="array" ref="E11">INDEX(T_Info[],MATCH(T_Fe[[#This Row],[Codigo]],T_Info[Codigo],0),COLUMN(T_Info[Pisos]))</f>
        <v>5</v>
      </c>
      <c r="F11" s="30" cm="1">
        <f t="array" ref="F11">INDEX(T_Info[],MATCH(T_Fe[[#This Row],[Codigo]],T_Info[Codigo],0),COLUMN(T_Info[Subt.]))</f>
        <v>3</v>
      </c>
      <c r="G11" s="32" cm="1">
        <f t="array" ref="G11">INDEX(T_Info[],MATCH(T_Fe[[#This Row],[Codigo]],T_Info[Codigo],0),COLUMN(T_Info[Superficie m2]))</f>
        <v>13695</v>
      </c>
      <c r="H11" s="30" t="str" cm="1">
        <f t="array" ref="H11">IF(INDEX(T_Info[],MATCH(T_Fe[[#This Row],[Codigo]],T_Info[Codigo],0),COLUMN(T_Info[Postensado]))&lt;&gt;"",INDEX(T_Info[],MATCH(T_Fe[[#This Row],[Codigo]],T_Info[Codigo],0),COLUMN(T_Info[Postensado])),"")</f>
        <v/>
      </c>
      <c r="I11" s="30" t="str" cm="1">
        <f t="array" ref="I11">IF(INDEX(T_Info[],MATCH(T_Fe[[#This Row],[Codigo]],T_Info[Codigo],0),COLUMN(T_Info[Losa Fundación]))&lt;&gt;"",INDEX(T_Info[],MATCH(T_Fe[[#This Row],[Codigo]],T_Info[Codigo],0),COLUMN(T_Info[Losa Fundación])),"")</f>
        <v/>
      </c>
      <c r="J11" s="33">
        <v>5870.58</v>
      </c>
      <c r="K11" s="33">
        <v>0</v>
      </c>
      <c r="L11" s="33">
        <v>244192.86</v>
      </c>
      <c r="M11" s="33">
        <v>0</v>
      </c>
      <c r="N11" s="33">
        <v>49205.37</v>
      </c>
      <c r="O11" s="33">
        <v>0</v>
      </c>
      <c r="P11" s="33">
        <v>0</v>
      </c>
      <c r="Q11" s="33">
        <v>191157.58</v>
      </c>
      <c r="R11" s="33"/>
      <c r="S11" s="33"/>
      <c r="T11" s="33"/>
      <c r="U11" s="33">
        <f>SUM(T_Fe[[#This Row],[Fund kg]:[Cierros kg]])</f>
        <v>490426.39</v>
      </c>
      <c r="V11" s="22">
        <f>IFERROR(T_Fe[[#This Row],[Fund kg]]/T_Fe[[#This Row],[Superficie m2]],)</f>
        <v>0.42866593647316537</v>
      </c>
      <c r="W11" s="22">
        <f>IFERROR(T_Fe[[#This Row],[Muros kg]]/T_Fe[[#This Row],[Superficie m2]],)</f>
        <v>17.830803943044906</v>
      </c>
      <c r="X11" s="22">
        <f>IFERROR(T_Fe[[#This Row],[Perimetrales kg]]/T_Fe[[#This Row],[Superficie m2]],)</f>
        <v>0</v>
      </c>
      <c r="Y11" s="22">
        <f>IFERROR(T_Fe[[#This Row],[Vigas kg]]/T_Fe[[#This Row],[Superficie m2]],)</f>
        <v>3.5929441401971522</v>
      </c>
      <c r="Z11" s="22">
        <f>IFERROR(T_Fe[[#This Row],[Losas kg]]/T_Fe[[#This Row],[Superficie m2]],)</f>
        <v>13.958202263599853</v>
      </c>
      <c r="AA11" s="22">
        <f>IFERROR(T_Fe[[#This Row],[Total kg]]/T_Fe[[#This Row],[Superficie m2]],)</f>
        <v>35.810616283315078</v>
      </c>
    </row>
    <row r="12" spans="1:27" x14ac:dyDescent="0.25">
      <c r="A12" s="30">
        <v>14040</v>
      </c>
      <c r="B12" s="31" t="str" cm="1">
        <f t="array" ref="B12">INDEX(T_Info[],MATCH(T_Fe[[#This Row],[Codigo]],T_Info[Codigo],0),COLUMN(T_Info[Proyecto]))</f>
        <v>Freire</v>
      </c>
      <c r="C12" s="30" t="str" cm="1">
        <f t="array" ref="C12">INDEX(T_Info[],MATCH(T_Fe[[#This Row],[Codigo]],T_Info[Codigo],0),COLUMN(T_Info[T.S]))</f>
        <v>D</v>
      </c>
      <c r="D12" s="30" cm="1">
        <f t="array" ref="D12">INDEX(T_Info[],MATCH(T_Fe[[#This Row],[Codigo]],T_Info[Codigo],0),COLUMN(T_Info[Z.S]))</f>
        <v>3</v>
      </c>
      <c r="E12" s="30" cm="1">
        <f t="array" ref="E12">INDEX(T_Info[],MATCH(T_Fe[[#This Row],[Codigo]],T_Info[Codigo],0),COLUMN(T_Info[Pisos]))</f>
        <v>24</v>
      </c>
      <c r="F12" s="30" cm="1">
        <f t="array" ref="F12">INDEX(T_Info[],MATCH(T_Fe[[#This Row],[Codigo]],T_Info[Codigo],0),COLUMN(T_Info[Subt.]))</f>
        <v>2</v>
      </c>
      <c r="G12" s="32" cm="1">
        <f t="array" ref="G12">INDEX(T_Info[],MATCH(T_Fe[[#This Row],[Codigo]],T_Info[Codigo],0),COLUMN(T_Info[Superficie m2]))</f>
        <v>15443</v>
      </c>
      <c r="H12" s="30" t="str" cm="1">
        <f t="array" ref="H12">IF(INDEX(T_Info[],MATCH(T_Fe[[#This Row],[Codigo]],T_Info[Codigo],0),COLUMN(T_Info[Postensado]))&lt;&gt;"",INDEX(T_Info[],MATCH(T_Fe[[#This Row],[Codigo]],T_Info[Codigo],0),COLUMN(T_Info[Postensado])),"")</f>
        <v/>
      </c>
      <c r="I12" s="30" t="str" cm="1">
        <f t="array" ref="I12">IF(INDEX(T_Info[],MATCH(T_Fe[[#This Row],[Codigo]],T_Info[Codigo],0),COLUMN(T_Info[Losa Fundación]))&lt;&gt;"",INDEX(T_Info[],MATCH(T_Fe[[#This Row],[Codigo]],T_Info[Codigo],0),COLUMN(T_Info[Losa Fundación])),"")</f>
        <v/>
      </c>
      <c r="J12" s="33">
        <v>87175.4</v>
      </c>
      <c r="K12" s="33">
        <v>0</v>
      </c>
      <c r="L12" s="33">
        <v>608897.28000000003</v>
      </c>
      <c r="M12" s="33">
        <v>0</v>
      </c>
      <c r="N12" s="33">
        <v>184581.26960000003</v>
      </c>
      <c r="O12" s="33">
        <v>0</v>
      </c>
      <c r="P12" s="33">
        <v>0</v>
      </c>
      <c r="Q12" s="33">
        <v>267370.04600000003</v>
      </c>
      <c r="R12" s="33"/>
      <c r="S12" s="33"/>
      <c r="T12" s="33"/>
      <c r="U12" s="33">
        <f>SUM(T_Fe[[#This Row],[Fund kg]:[Cierros kg]])</f>
        <v>1148023.9956</v>
      </c>
      <c r="V12" s="22">
        <f>IFERROR(T_Fe[[#This Row],[Fund kg]]/T_Fe[[#This Row],[Superficie m2]],)</f>
        <v>5.6449783073237061</v>
      </c>
      <c r="W12" s="22">
        <f>IFERROR(T_Fe[[#This Row],[Muros kg]]/T_Fe[[#This Row],[Superficie m2]],)</f>
        <v>39.428691316454056</v>
      </c>
      <c r="X12" s="22">
        <f>IFERROR(T_Fe[[#This Row],[Perimetrales kg]]/T_Fe[[#This Row],[Superficie m2]],)</f>
        <v>0</v>
      </c>
      <c r="Y12" s="22">
        <f>IFERROR(T_Fe[[#This Row],[Vigas kg]]/T_Fe[[#This Row],[Superficie m2]],)</f>
        <v>11.952423078417407</v>
      </c>
      <c r="Z12" s="22">
        <f>IFERROR(T_Fe[[#This Row],[Losas kg]]/T_Fe[[#This Row],[Superficie m2]],)</f>
        <v>17.313348831185653</v>
      </c>
      <c r="AA12" s="22">
        <f>IFERROR(T_Fe[[#This Row],[Total kg]]/T_Fe[[#This Row],[Superficie m2]],)</f>
        <v>74.339441533380821</v>
      </c>
    </row>
    <row r="13" spans="1:27" x14ac:dyDescent="0.25">
      <c r="A13" s="30">
        <v>14077</v>
      </c>
      <c r="B13" s="31" t="str" cm="1">
        <f t="array" ref="B13">INDEX(T_Info[],MATCH(T_Fe[[#This Row],[Codigo]],T_Info[Codigo],0),COLUMN(T_Info[Proyecto]))</f>
        <v>Jose D Cañas</v>
      </c>
      <c r="C13" s="30" t="str" cm="1">
        <f t="array" ref="C13">INDEX(T_Info[],MATCH(T_Fe[[#This Row],[Codigo]],T_Info[Codigo],0),COLUMN(T_Info[T.S]))</f>
        <v>B</v>
      </c>
      <c r="D13" s="30" cm="1">
        <f t="array" ref="D13">INDEX(T_Info[],MATCH(T_Fe[[#This Row],[Codigo]],T_Info[Codigo],0),COLUMN(T_Info[Z.S]))</f>
        <v>2</v>
      </c>
      <c r="E13" s="30" cm="1">
        <f t="array" ref="E13">INDEX(T_Info[],MATCH(T_Fe[[#This Row],[Codigo]],T_Info[Codigo],0),COLUMN(T_Info[Pisos]))</f>
        <v>14</v>
      </c>
      <c r="F13" s="30" cm="1">
        <f t="array" ref="F13">INDEX(T_Info[],MATCH(T_Fe[[#This Row],[Codigo]],T_Info[Codigo],0),COLUMN(T_Info[Subt.]))</f>
        <v>2</v>
      </c>
      <c r="G13" s="32" cm="1">
        <f t="array" ref="G13">INDEX(T_Info[],MATCH(T_Fe[[#This Row],[Codigo]],T_Info[Codigo],0),COLUMN(T_Info[Superficie m2]))</f>
        <v>14752</v>
      </c>
      <c r="H13" s="30" t="str" cm="1">
        <f t="array" ref="H13">IF(INDEX(T_Info[],MATCH(T_Fe[[#This Row],[Codigo]],T_Info[Codigo],0),COLUMN(T_Info[Postensado]))&lt;&gt;"",INDEX(T_Info[],MATCH(T_Fe[[#This Row],[Codigo]],T_Info[Codigo],0),COLUMN(T_Info[Postensado])),"")</f>
        <v/>
      </c>
      <c r="I13" s="30" t="str" cm="1">
        <f t="array" ref="I13">IF(INDEX(T_Info[],MATCH(T_Fe[[#This Row],[Codigo]],T_Info[Codigo],0),COLUMN(T_Info[Losa Fundación]))&lt;&gt;"",INDEX(T_Info[],MATCH(T_Fe[[#This Row],[Codigo]],T_Info[Codigo],0),COLUMN(T_Info[Losa Fundación])),"")</f>
        <v/>
      </c>
      <c r="J13" s="33">
        <v>10360.912</v>
      </c>
      <c r="K13" s="33">
        <v>0</v>
      </c>
      <c r="L13" s="33">
        <v>197236.34</v>
      </c>
      <c r="M13" s="33">
        <v>0</v>
      </c>
      <c r="N13" s="33">
        <v>68112.1774</v>
      </c>
      <c r="O13" s="33">
        <v>0</v>
      </c>
      <c r="P13" s="33">
        <v>0</v>
      </c>
      <c r="Q13" s="33">
        <v>206413.43320000003</v>
      </c>
      <c r="R13" s="33"/>
      <c r="S13" s="33"/>
      <c r="T13" s="33"/>
      <c r="U13" s="33">
        <f>SUM(T_Fe[[#This Row],[Fund kg]:[Cierros kg]])</f>
        <v>482122.86260000005</v>
      </c>
      <c r="V13" s="22">
        <f>IFERROR(T_Fe[[#This Row],[Fund kg]]/T_Fe[[#This Row],[Superficie m2]],)</f>
        <v>0.70233947939262475</v>
      </c>
      <c r="W13" s="22">
        <f>IFERROR(T_Fe[[#This Row],[Muros kg]]/T_Fe[[#This Row],[Superficie m2]],)</f>
        <v>13.370142353579176</v>
      </c>
      <c r="X13" s="22">
        <f>IFERROR(T_Fe[[#This Row],[Perimetrales kg]]/T_Fe[[#This Row],[Superficie m2]],)</f>
        <v>0</v>
      </c>
      <c r="Y13" s="22">
        <f>IFERROR(T_Fe[[#This Row],[Vigas kg]]/T_Fe[[#This Row],[Superficie m2]],)</f>
        <v>4.6171486849240777</v>
      </c>
      <c r="Z13" s="22">
        <f>IFERROR(T_Fe[[#This Row],[Losas kg]]/T_Fe[[#This Row],[Superficie m2]],)</f>
        <v>13.992233812364427</v>
      </c>
      <c r="AA13" s="22">
        <f>IFERROR(T_Fe[[#This Row],[Total kg]]/T_Fe[[#This Row],[Superficie m2]],)</f>
        <v>32.681864330260311</v>
      </c>
    </row>
    <row r="14" spans="1:27" x14ac:dyDescent="0.25">
      <c r="A14" s="30">
        <v>14088</v>
      </c>
      <c r="B14" s="31" t="str" cm="1">
        <f t="array" ref="B14">INDEX(T_Info[],MATCH(T_Fe[[#This Row],[Codigo]],T_Info[Codigo],0),COLUMN(T_Info[Proyecto]))</f>
        <v>Blest Gana</v>
      </c>
      <c r="C14" s="30" t="str" cm="1">
        <f t="array" ref="C14">INDEX(T_Info[],MATCH(T_Fe[[#This Row],[Codigo]],T_Info[Codigo],0),COLUMN(T_Info[T.S]))</f>
        <v>D</v>
      </c>
      <c r="D14" s="30" cm="1">
        <f t="array" ref="D14">INDEX(T_Info[],MATCH(T_Fe[[#This Row],[Codigo]],T_Info[Codigo],0),COLUMN(T_Info[Z.S]))</f>
        <v>2</v>
      </c>
      <c r="E14" s="30" cm="1">
        <f t="array" ref="E14">INDEX(T_Info[],MATCH(T_Fe[[#This Row],[Codigo]],T_Info[Codigo],0),COLUMN(T_Info[Pisos]))</f>
        <v>18</v>
      </c>
      <c r="F14" s="30" cm="1">
        <f t="array" ref="F14">INDEX(T_Info[],MATCH(T_Fe[[#This Row],[Codigo]],T_Info[Codigo],0),COLUMN(T_Info[Subt.]))</f>
        <v>2</v>
      </c>
      <c r="G14" s="32" cm="1">
        <f t="array" ref="G14">INDEX(T_Info[],MATCH(T_Fe[[#This Row],[Codigo]],T_Info[Codigo],0),COLUMN(T_Info[Superficie m2]))</f>
        <v>14649</v>
      </c>
      <c r="H14" s="30" t="str" cm="1">
        <f t="array" ref="H14">IF(INDEX(T_Info[],MATCH(T_Fe[[#This Row],[Codigo]],T_Info[Codigo],0),COLUMN(T_Info[Postensado]))&lt;&gt;"",INDEX(T_Info[],MATCH(T_Fe[[#This Row],[Codigo]],T_Info[Codigo],0),COLUMN(T_Info[Postensado])),"")</f>
        <v/>
      </c>
      <c r="I14" s="30" t="str" cm="1">
        <f t="array" ref="I14">IF(INDEX(T_Info[],MATCH(T_Fe[[#This Row],[Codigo]],T_Info[Codigo],0),COLUMN(T_Info[Losa Fundación]))&lt;&gt;"",INDEX(T_Info[],MATCH(T_Fe[[#This Row],[Codigo]],T_Info[Codigo],0),COLUMN(T_Info[Losa Fundación])),"")</f>
        <v/>
      </c>
      <c r="J14" s="33">
        <v>109867.5</v>
      </c>
      <c r="K14" s="33">
        <v>0</v>
      </c>
      <c r="L14" s="33">
        <v>350111.1</v>
      </c>
      <c r="M14" s="33">
        <v>0</v>
      </c>
      <c r="N14" s="33">
        <v>98148.3</v>
      </c>
      <c r="O14" s="33">
        <v>0</v>
      </c>
      <c r="P14" s="33">
        <v>0</v>
      </c>
      <c r="Q14" s="33">
        <v>225594.6</v>
      </c>
      <c r="R14" s="33"/>
      <c r="S14" s="33"/>
      <c r="T14" s="33"/>
      <c r="U14" s="33">
        <f>SUM(T_Fe[[#This Row],[Fund kg]:[Cierros kg]])</f>
        <v>783721.5</v>
      </c>
      <c r="V14" s="22">
        <f>IFERROR(T_Fe[[#This Row],[Fund kg]]/T_Fe[[#This Row],[Superficie m2]],)</f>
        <v>7.5</v>
      </c>
      <c r="W14" s="22">
        <f>IFERROR(T_Fe[[#This Row],[Muros kg]]/T_Fe[[#This Row],[Superficie m2]],)</f>
        <v>23.9</v>
      </c>
      <c r="X14" s="22">
        <f>IFERROR(T_Fe[[#This Row],[Perimetrales kg]]/T_Fe[[#This Row],[Superficie m2]],)</f>
        <v>0</v>
      </c>
      <c r="Y14" s="22">
        <f>IFERROR(T_Fe[[#This Row],[Vigas kg]]/T_Fe[[#This Row],[Superficie m2]],)</f>
        <v>6.7</v>
      </c>
      <c r="Z14" s="22">
        <f>IFERROR(T_Fe[[#This Row],[Losas kg]]/T_Fe[[#This Row],[Superficie m2]],)</f>
        <v>15.4</v>
      </c>
      <c r="AA14" s="22">
        <f>IFERROR(T_Fe[[#This Row],[Total kg]]/T_Fe[[#This Row],[Superficie m2]],)</f>
        <v>53.5</v>
      </c>
    </row>
    <row r="15" spans="1:27" x14ac:dyDescent="0.25">
      <c r="A15" s="30">
        <v>14097</v>
      </c>
      <c r="B15" s="31" t="str" cm="1">
        <f t="array" ref="B15">INDEX(T_Info[],MATCH(T_Fe[[#This Row],[Codigo]],T_Info[Codigo],0),COLUMN(T_Info[Proyecto]))</f>
        <v>Bello Horizonte II</v>
      </c>
      <c r="C15" s="30" t="str" cm="1">
        <f t="array" ref="C15">INDEX(T_Info[],MATCH(T_Fe[[#This Row],[Codigo]],T_Info[Codigo],0),COLUMN(T_Info[T.S]))</f>
        <v>B</v>
      </c>
      <c r="D15" s="30" cm="1">
        <f t="array" ref="D15">INDEX(T_Info[],MATCH(T_Fe[[#This Row],[Codigo]],T_Info[Codigo],0),COLUMN(T_Info[Z.S]))</f>
        <v>2</v>
      </c>
      <c r="E15" s="30" cm="1">
        <f t="array" ref="E15">INDEX(T_Info[],MATCH(T_Fe[[#This Row],[Codigo]],T_Info[Codigo],0),COLUMN(T_Info[Pisos]))</f>
        <v>9</v>
      </c>
      <c r="F15" s="30" cm="1">
        <f t="array" ref="F15">INDEX(T_Info[],MATCH(T_Fe[[#This Row],[Codigo]],T_Info[Codigo],0),COLUMN(T_Info[Subt.]))</f>
        <v>2</v>
      </c>
      <c r="G15" s="32" cm="1">
        <f t="array" ref="G15">INDEX(T_Info[],MATCH(T_Fe[[#This Row],[Codigo]],T_Info[Codigo],0),COLUMN(T_Info[Superficie m2]))</f>
        <v>10798</v>
      </c>
      <c r="H15" s="30" t="str" cm="1">
        <f t="array" ref="H15">IF(INDEX(T_Info[],MATCH(T_Fe[[#This Row],[Codigo]],T_Info[Codigo],0),COLUMN(T_Info[Postensado]))&lt;&gt;"",INDEX(T_Info[],MATCH(T_Fe[[#This Row],[Codigo]],T_Info[Codigo],0),COLUMN(T_Info[Postensado])),"")</f>
        <v/>
      </c>
      <c r="I15" s="30" t="str" cm="1">
        <f t="array" ref="I15">IF(INDEX(T_Info[],MATCH(T_Fe[[#This Row],[Codigo]],T_Info[Codigo],0),COLUMN(T_Info[Losa Fundación]))&lt;&gt;"",INDEX(T_Info[],MATCH(T_Fe[[#This Row],[Codigo]],T_Info[Codigo],0),COLUMN(T_Info[Losa Fundación])),"")</f>
        <v/>
      </c>
      <c r="J15" s="33">
        <v>4223.0339999999997</v>
      </c>
      <c r="K15" s="33">
        <v>0</v>
      </c>
      <c r="L15" s="33">
        <v>138104.62000000002</v>
      </c>
      <c r="M15" s="33">
        <v>0</v>
      </c>
      <c r="N15" s="33">
        <v>44633.26</v>
      </c>
      <c r="O15" s="33">
        <v>0</v>
      </c>
      <c r="P15" s="33">
        <v>0</v>
      </c>
      <c r="Q15" s="33">
        <v>133895.20000000001</v>
      </c>
      <c r="R15" s="33"/>
      <c r="S15" s="33"/>
      <c r="T15" s="33"/>
      <c r="U15" s="33">
        <f>SUM(T_Fe[[#This Row],[Fund kg]:[Cierros kg]])</f>
        <v>320856.11400000006</v>
      </c>
      <c r="V15" s="22">
        <f>IFERROR(T_Fe[[#This Row],[Fund kg]]/T_Fe[[#This Row],[Superficie m2]],)</f>
        <v>0.39109409149842561</v>
      </c>
      <c r="W15" s="22">
        <f>IFERROR(T_Fe[[#This Row],[Muros kg]]/T_Fe[[#This Row],[Superficie m2]],)</f>
        <v>12.789833302463421</v>
      </c>
      <c r="X15" s="22">
        <f>IFERROR(T_Fe[[#This Row],[Perimetrales kg]]/T_Fe[[#This Row],[Superficie m2]],)</f>
        <v>0</v>
      </c>
      <c r="Y15" s="22">
        <f>IFERROR(T_Fe[[#This Row],[Vigas kg]]/T_Fe[[#This Row],[Superficie m2]],)</f>
        <v>4.1334747175402855</v>
      </c>
      <c r="Z15" s="22">
        <f>IFERROR(T_Fe[[#This Row],[Losas kg]]/T_Fe[[#This Row],[Superficie m2]],)</f>
        <v>12.4</v>
      </c>
      <c r="AA15" s="22">
        <f>IFERROR(T_Fe[[#This Row],[Total kg]]/T_Fe[[#This Row],[Superficie m2]],)</f>
        <v>29.714402111502135</v>
      </c>
    </row>
    <row r="16" spans="1:27" x14ac:dyDescent="0.25">
      <c r="A16" s="30">
        <v>14134</v>
      </c>
      <c r="B16" s="31" t="str" cm="1">
        <f t="array" ref="B16">INDEX(T_Info[],MATCH(T_Fe[[#This Row],[Codigo]],T_Info[Codigo],0),COLUMN(T_Info[Proyecto]))</f>
        <v>Ocoa</v>
      </c>
      <c r="C16" s="30" t="str" cm="1">
        <f t="array" ref="C16">INDEX(T_Info[],MATCH(T_Fe[[#This Row],[Codigo]],T_Info[Codigo],0),COLUMN(T_Info[T.S]))</f>
        <v>C</v>
      </c>
      <c r="D16" s="30" cm="1">
        <f t="array" ref="D16">INDEX(T_Info[],MATCH(T_Fe[[#This Row],[Codigo]],T_Info[Codigo],0),COLUMN(T_Info[Z.S]))</f>
        <v>3</v>
      </c>
      <c r="E16" s="30" cm="1">
        <f t="array" ref="E16">INDEX(T_Info[],MATCH(T_Fe[[#This Row],[Codigo]],T_Info[Codigo],0),COLUMN(T_Info[Pisos]))</f>
        <v>17</v>
      </c>
      <c r="F16" s="30" cm="1">
        <f t="array" ref="F16">INDEX(T_Info[],MATCH(T_Fe[[#This Row],[Codigo]],T_Info[Codigo],0),COLUMN(T_Info[Subt.]))</f>
        <v>2</v>
      </c>
      <c r="G16" s="32" cm="1">
        <f t="array" ref="G16">INDEX(T_Info[],MATCH(T_Fe[[#This Row],[Codigo]],T_Info[Codigo],0),COLUMN(T_Info[Superficie m2]))</f>
        <v>16835</v>
      </c>
      <c r="H16" s="30" t="str" cm="1">
        <f t="array" ref="H16">IF(INDEX(T_Info[],MATCH(T_Fe[[#This Row],[Codigo]],T_Info[Codigo],0),COLUMN(T_Info[Postensado]))&lt;&gt;"",INDEX(T_Info[],MATCH(T_Fe[[#This Row],[Codigo]],T_Info[Codigo],0),COLUMN(T_Info[Postensado])),"")</f>
        <v/>
      </c>
      <c r="I16" s="30" t="str" cm="1">
        <f t="array" ref="I16">IF(INDEX(T_Info[],MATCH(T_Fe[[#This Row],[Codigo]],T_Info[Codigo],0),COLUMN(T_Info[Losa Fundación]))&lt;&gt;"",INDEX(T_Info[],MATCH(T_Fe[[#This Row],[Codigo]],T_Info[Codigo],0),COLUMN(T_Info[Losa Fundación])),"")</f>
        <v/>
      </c>
      <c r="J16" s="33">
        <v>123020.68010007491</v>
      </c>
      <c r="K16" s="33">
        <v>0</v>
      </c>
      <c r="L16" s="33">
        <v>295963.52370215364</v>
      </c>
      <c r="M16" s="33">
        <v>0</v>
      </c>
      <c r="N16" s="33">
        <v>110381.71289468199</v>
      </c>
      <c r="O16" s="33">
        <v>0</v>
      </c>
      <c r="P16" s="33">
        <v>0</v>
      </c>
      <c r="Q16" s="33">
        <v>234861.62919005734</v>
      </c>
      <c r="R16" s="33"/>
      <c r="S16" s="33"/>
      <c r="T16" s="33"/>
      <c r="U16" s="33">
        <f>SUM(T_Fe[[#This Row],[Fund kg]:[Cierros kg]])</f>
        <v>764227.5458869678</v>
      </c>
      <c r="V16" s="22">
        <f>IFERROR(T_Fe[[#This Row],[Fund kg]]/T_Fe[[#This Row],[Superficie m2]],)</f>
        <v>7.3074357053801551</v>
      </c>
      <c r="W16" s="22">
        <f>IFERROR(T_Fe[[#This Row],[Muros kg]]/T_Fe[[#This Row],[Superficie m2]],)</f>
        <v>17.580250888158815</v>
      </c>
      <c r="X16" s="22">
        <f>IFERROR(T_Fe[[#This Row],[Perimetrales kg]]/T_Fe[[#This Row],[Superficie m2]],)</f>
        <v>0</v>
      </c>
      <c r="Y16" s="22">
        <f>IFERROR(T_Fe[[#This Row],[Vigas kg]]/T_Fe[[#This Row],[Superficie m2]],)</f>
        <v>6.5566803026244127</v>
      </c>
      <c r="Z16" s="22">
        <f>IFERROR(T_Fe[[#This Row],[Losas kg]]/T_Fe[[#This Row],[Superficie m2]],)</f>
        <v>13.950794724684132</v>
      </c>
      <c r="AA16" s="22">
        <f>IFERROR(T_Fe[[#This Row],[Total kg]]/T_Fe[[#This Row],[Superficie m2]],)</f>
        <v>45.39516162084751</v>
      </c>
    </row>
    <row r="17" spans="1:27" x14ac:dyDescent="0.25">
      <c r="A17" s="30">
        <v>15001</v>
      </c>
      <c r="B17" s="31" t="str" cm="1">
        <f t="array" ref="B17">INDEX(T_Info[],MATCH(T_Fe[[#This Row],[Codigo]],T_Info[Codigo],0),COLUMN(T_Info[Proyecto]))</f>
        <v>Nercasseaux</v>
      </c>
      <c r="C17" s="30" t="str" cm="1">
        <f t="array" ref="C17">INDEX(T_Info[],MATCH(T_Fe[[#This Row],[Codigo]],T_Info[Codigo],0),COLUMN(T_Info[T.S]))</f>
        <v>B</v>
      </c>
      <c r="D17" s="30" cm="1">
        <f t="array" ref="D17">INDEX(T_Info[],MATCH(T_Fe[[#This Row],[Codigo]],T_Info[Codigo],0),COLUMN(T_Info[Z.S]))</f>
        <v>2</v>
      </c>
      <c r="E17" s="30" cm="1">
        <f t="array" ref="E17">INDEX(T_Info[],MATCH(T_Fe[[#This Row],[Codigo]],T_Info[Codigo],0),COLUMN(T_Info[Pisos]))</f>
        <v>11</v>
      </c>
      <c r="F17" s="30" cm="1">
        <f t="array" ref="F17">INDEX(T_Info[],MATCH(T_Fe[[#This Row],[Codigo]],T_Info[Codigo],0),COLUMN(T_Info[Subt.]))</f>
        <v>2</v>
      </c>
      <c r="G17" s="32" cm="1">
        <f t="array" ref="G17">INDEX(T_Info[],MATCH(T_Fe[[#This Row],[Codigo]],T_Info[Codigo],0),COLUMN(T_Info[Superficie m2]))</f>
        <v>10981</v>
      </c>
      <c r="H17" s="30" t="str" cm="1">
        <f t="array" ref="H17">IF(INDEX(T_Info[],MATCH(T_Fe[[#This Row],[Codigo]],T_Info[Codigo],0),COLUMN(T_Info[Postensado]))&lt;&gt;"",INDEX(T_Info[],MATCH(T_Fe[[#This Row],[Codigo]],T_Info[Codigo],0),COLUMN(T_Info[Postensado])),"")</f>
        <v/>
      </c>
      <c r="I17" s="30" t="str" cm="1">
        <f t="array" ref="I17">IF(INDEX(T_Info[],MATCH(T_Fe[[#This Row],[Codigo]],T_Info[Codigo],0),COLUMN(T_Info[Losa Fundación]))&lt;&gt;"",INDEX(T_Info[],MATCH(T_Fe[[#This Row],[Codigo]],T_Info[Codigo],0),COLUMN(T_Info[Losa Fundación])),"")</f>
        <v/>
      </c>
      <c r="J17" s="33">
        <v>5673.8000000000011</v>
      </c>
      <c r="K17" s="33">
        <v>0</v>
      </c>
      <c r="L17" s="33">
        <v>143192.24</v>
      </c>
      <c r="M17" s="33">
        <v>0</v>
      </c>
      <c r="N17" s="33">
        <v>49524.31</v>
      </c>
      <c r="O17" s="33">
        <v>0</v>
      </c>
      <c r="P17" s="33">
        <v>0</v>
      </c>
      <c r="Q17" s="33">
        <v>158895.07</v>
      </c>
      <c r="R17" s="33"/>
      <c r="S17" s="33"/>
      <c r="T17" s="33"/>
      <c r="U17" s="33">
        <f>SUM(T_Fe[[#This Row],[Fund kg]:[Cierros kg]])</f>
        <v>357285.42</v>
      </c>
      <c r="V17" s="22">
        <f>IFERROR(T_Fe[[#This Row],[Fund kg]]/T_Fe[[#This Row],[Superficie m2]],)</f>
        <v>0.51669246880976238</v>
      </c>
      <c r="W17" s="22">
        <f>IFERROR(T_Fe[[#This Row],[Muros kg]]/T_Fe[[#This Row],[Superficie m2]],)</f>
        <v>13.04</v>
      </c>
      <c r="X17" s="22">
        <f>IFERROR(T_Fe[[#This Row],[Perimetrales kg]]/T_Fe[[#This Row],[Superficie m2]],)</f>
        <v>0</v>
      </c>
      <c r="Y17" s="22">
        <f>IFERROR(T_Fe[[#This Row],[Vigas kg]]/T_Fe[[#This Row],[Superficie m2]],)</f>
        <v>4.51</v>
      </c>
      <c r="Z17" s="22">
        <f>IFERROR(T_Fe[[#This Row],[Losas kg]]/T_Fe[[#This Row],[Superficie m2]],)</f>
        <v>14.47</v>
      </c>
      <c r="AA17" s="22">
        <f>IFERROR(T_Fe[[#This Row],[Total kg]]/T_Fe[[#This Row],[Superficie m2]],)</f>
        <v>32.536692468809761</v>
      </c>
    </row>
    <row r="18" spans="1:27" x14ac:dyDescent="0.25">
      <c r="A18" s="30">
        <v>15007</v>
      </c>
      <c r="B18" s="31" t="str" cm="1">
        <f t="array" ref="B18">INDEX(T_Info[],MATCH(T_Fe[[#This Row],[Codigo]],T_Info[Codigo],0),COLUMN(T_Info[Proyecto]))</f>
        <v>Valencia</v>
      </c>
      <c r="C18" s="30" t="str" cm="1">
        <f t="array" ref="C18">INDEX(T_Info[],MATCH(T_Fe[[#This Row],[Codigo]],T_Info[Codigo],0),COLUMN(T_Info[T.S]))</f>
        <v>B</v>
      </c>
      <c r="D18" s="30" cm="1">
        <f t="array" ref="D18">INDEX(T_Info[],MATCH(T_Fe[[#This Row],[Codigo]],T_Info[Codigo],0),COLUMN(T_Info[Z.S]))</f>
        <v>2</v>
      </c>
      <c r="E18" s="30" cm="1">
        <f t="array" ref="E18">INDEX(T_Info[],MATCH(T_Fe[[#This Row],[Codigo]],T_Info[Codigo],0),COLUMN(T_Info[Pisos]))</f>
        <v>7</v>
      </c>
      <c r="F18" s="30" cm="1">
        <f t="array" ref="F18">INDEX(T_Info[],MATCH(T_Fe[[#This Row],[Codigo]],T_Info[Codigo],0),COLUMN(T_Info[Subt.]))</f>
        <v>2</v>
      </c>
      <c r="G18" s="32" cm="1">
        <f t="array" ref="G18">INDEX(T_Info[],MATCH(T_Fe[[#This Row],[Codigo]],T_Info[Codigo],0),COLUMN(T_Info[Superficie m2]))</f>
        <v>12355</v>
      </c>
      <c r="H18" s="30" t="str" cm="1">
        <f t="array" ref="H18">IF(INDEX(T_Info[],MATCH(T_Fe[[#This Row],[Codigo]],T_Info[Codigo],0),COLUMN(T_Info[Postensado]))&lt;&gt;"",INDEX(T_Info[],MATCH(T_Fe[[#This Row],[Codigo]],T_Info[Codigo],0),COLUMN(T_Info[Postensado])),"")</f>
        <v/>
      </c>
      <c r="I18" s="30" t="str" cm="1">
        <f t="array" ref="I18">IF(INDEX(T_Info[],MATCH(T_Fe[[#This Row],[Codigo]],T_Info[Codigo],0),COLUMN(T_Info[Losa Fundación]))&lt;&gt;"",INDEX(T_Info[],MATCH(T_Fe[[#This Row],[Codigo]],T_Info[Codigo],0),COLUMN(T_Info[Losa Fundación])),"")</f>
        <v/>
      </c>
      <c r="J18" s="33">
        <v>4993.896999999999</v>
      </c>
      <c r="K18" s="33">
        <v>0</v>
      </c>
      <c r="L18" s="33">
        <v>162725.09000000003</v>
      </c>
      <c r="M18" s="33">
        <v>0</v>
      </c>
      <c r="N18" s="33">
        <v>41706.229999999996</v>
      </c>
      <c r="O18" s="33">
        <v>0</v>
      </c>
      <c r="P18" s="33">
        <v>0</v>
      </c>
      <c r="Q18" s="33">
        <v>163403.61640000003</v>
      </c>
      <c r="R18" s="33"/>
      <c r="S18" s="33"/>
      <c r="T18" s="33"/>
      <c r="U18" s="33">
        <f>SUM(T_Fe[[#This Row],[Fund kg]:[Cierros kg]])</f>
        <v>372828.8334</v>
      </c>
      <c r="V18" s="22">
        <f>IFERROR(T_Fe[[#This Row],[Fund kg]]/T_Fe[[#This Row],[Superficie m2]],)</f>
        <v>0.40420048563334676</v>
      </c>
      <c r="W18" s="22">
        <f>IFERROR(T_Fe[[#This Row],[Muros kg]]/T_Fe[[#This Row],[Superficie m2]],)</f>
        <v>13.170788344799679</v>
      </c>
      <c r="X18" s="22">
        <f>IFERROR(T_Fe[[#This Row],[Perimetrales kg]]/T_Fe[[#This Row],[Superficie m2]],)</f>
        <v>0</v>
      </c>
      <c r="Y18" s="22">
        <f>IFERROR(T_Fe[[#This Row],[Vigas kg]]/T_Fe[[#This Row],[Superficie m2]],)</f>
        <v>3.3756560097126664</v>
      </c>
      <c r="Z18" s="22">
        <f>IFERROR(T_Fe[[#This Row],[Losas kg]]/T_Fe[[#This Row],[Superficie m2]],)</f>
        <v>13.225707519222988</v>
      </c>
      <c r="AA18" s="22">
        <f>IFERROR(T_Fe[[#This Row],[Total kg]]/T_Fe[[#This Row],[Superficie m2]],)</f>
        <v>30.176352359368678</v>
      </c>
    </row>
    <row r="19" spans="1:27" x14ac:dyDescent="0.25">
      <c r="A19" s="30">
        <v>15044</v>
      </c>
      <c r="B19" s="31" t="str" cm="1">
        <f t="array" ref="B19">INDEX(T_Info[],MATCH(T_Fe[[#This Row],[Codigo]],T_Info[Codigo],0),COLUMN(T_Info[Proyecto]))</f>
        <v>Montenegro</v>
      </c>
      <c r="C19" s="30" t="str" cm="1">
        <f t="array" ref="C19">INDEX(T_Info[],MATCH(T_Fe[[#This Row],[Codigo]],T_Info[Codigo],0),COLUMN(T_Info[T.S]))</f>
        <v>B</v>
      </c>
      <c r="D19" s="30" cm="1">
        <f t="array" ref="D19">INDEX(T_Info[],MATCH(T_Fe[[#This Row],[Codigo]],T_Info[Codigo],0),COLUMN(T_Info[Z.S]))</f>
        <v>2</v>
      </c>
      <c r="E19" s="30" cm="1">
        <f t="array" ref="E19">INDEX(T_Info[],MATCH(T_Fe[[#This Row],[Codigo]],T_Info[Codigo],0),COLUMN(T_Info[Pisos]))</f>
        <v>5</v>
      </c>
      <c r="F19" s="30" cm="1">
        <f t="array" ref="F19">INDEX(T_Info[],MATCH(T_Fe[[#This Row],[Codigo]],T_Info[Codigo],0),COLUMN(T_Info[Subt.]))</f>
        <v>2</v>
      </c>
      <c r="G19" s="32" cm="1">
        <f t="array" ref="G19">INDEX(T_Info[],MATCH(T_Fe[[#This Row],[Codigo]],T_Info[Codigo],0),COLUMN(T_Info[Superficie m2]))</f>
        <v>11392</v>
      </c>
      <c r="H19" s="30" t="str" cm="1">
        <f t="array" ref="H19">IF(INDEX(T_Info[],MATCH(T_Fe[[#This Row],[Codigo]],T_Info[Codigo],0),COLUMN(T_Info[Postensado]))&lt;&gt;"",INDEX(T_Info[],MATCH(T_Fe[[#This Row],[Codigo]],T_Info[Codigo],0),COLUMN(T_Info[Postensado])),"")</f>
        <v/>
      </c>
      <c r="I19" s="30" t="str" cm="1">
        <f t="array" ref="I19">IF(INDEX(T_Info[],MATCH(T_Fe[[#This Row],[Codigo]],T_Info[Codigo],0),COLUMN(T_Info[Losa Fundación]))&lt;&gt;"",INDEX(T_Info[],MATCH(T_Fe[[#This Row],[Codigo]],T_Info[Codigo],0),COLUMN(T_Info[Losa Fundación])),"")</f>
        <v/>
      </c>
      <c r="J19" s="33">
        <v>5620.1</v>
      </c>
      <c r="K19" s="33">
        <v>0</v>
      </c>
      <c r="L19" s="33">
        <v>148024.42000000001</v>
      </c>
      <c r="M19" s="33">
        <v>0</v>
      </c>
      <c r="N19" s="33">
        <v>44469.5</v>
      </c>
      <c r="O19" s="33">
        <v>0</v>
      </c>
      <c r="P19" s="33">
        <v>0</v>
      </c>
      <c r="Q19" s="33">
        <v>170348.5</v>
      </c>
      <c r="R19" s="33"/>
      <c r="S19" s="33"/>
      <c r="T19" s="33"/>
      <c r="U19" s="33">
        <f>SUM(T_Fe[[#This Row],[Fund kg]:[Cierros kg]])</f>
        <v>368462.52</v>
      </c>
      <c r="V19" s="22">
        <f>IFERROR(T_Fe[[#This Row],[Fund kg]]/T_Fe[[#This Row],[Superficie m2]],)</f>
        <v>0.49333742977528094</v>
      </c>
      <c r="W19" s="22">
        <f>IFERROR(T_Fe[[#This Row],[Muros kg]]/T_Fe[[#This Row],[Superficie m2]],)</f>
        <v>12.993716643258429</v>
      </c>
      <c r="X19" s="22">
        <f>IFERROR(T_Fe[[#This Row],[Perimetrales kg]]/T_Fe[[#This Row],[Superficie m2]],)</f>
        <v>0</v>
      </c>
      <c r="Y19" s="22">
        <f>IFERROR(T_Fe[[#This Row],[Vigas kg]]/T_Fe[[#This Row],[Superficie m2]],)</f>
        <v>3.9035726825842696</v>
      </c>
      <c r="Z19" s="22">
        <f>IFERROR(T_Fe[[#This Row],[Losas kg]]/T_Fe[[#This Row],[Superficie m2]],)</f>
        <v>14.95334445224719</v>
      </c>
      <c r="AA19" s="22">
        <f>IFERROR(T_Fe[[#This Row],[Total kg]]/T_Fe[[#This Row],[Superficie m2]],)</f>
        <v>32.343971207865167</v>
      </c>
    </row>
    <row r="20" spans="1:27" x14ac:dyDescent="0.25">
      <c r="A20" s="30">
        <v>15088</v>
      </c>
      <c r="B20" s="31" t="str" cm="1">
        <f t="array" ref="B20">INDEX(T_Info[],MATCH(T_Fe[[#This Row],[Codigo]],T_Info[Codigo],0),COLUMN(T_Info[Proyecto]))</f>
        <v>San Francisco</v>
      </c>
      <c r="C20" s="30" t="str" cm="1">
        <f t="array" ref="C20">INDEX(T_Info[],MATCH(T_Fe[[#This Row],[Codigo]],T_Info[Codigo],0),COLUMN(T_Info[T.S]))</f>
        <v>B</v>
      </c>
      <c r="D20" s="30" cm="1">
        <f t="array" ref="D20">INDEX(T_Info[],MATCH(T_Fe[[#This Row],[Codigo]],T_Info[Codigo],0),COLUMN(T_Info[Z.S]))</f>
        <v>2</v>
      </c>
      <c r="E20" s="30" cm="1">
        <f t="array" ref="E20">INDEX(T_Info[],MATCH(T_Fe[[#This Row],[Codigo]],T_Info[Codigo],0),COLUMN(T_Info[Pisos]))</f>
        <v>10</v>
      </c>
      <c r="F20" s="30" cm="1">
        <f t="array" ref="F20">INDEX(T_Info[],MATCH(T_Fe[[#This Row],[Codigo]],T_Info[Codigo],0),COLUMN(T_Info[Subt.]))</f>
        <v>3</v>
      </c>
      <c r="G20" s="32" cm="1">
        <f t="array" ref="G20">INDEX(T_Info[],MATCH(T_Fe[[#This Row],[Codigo]],T_Info[Codigo],0),COLUMN(T_Info[Superficie m2]))</f>
        <v>23058</v>
      </c>
      <c r="H20" s="30" t="str" cm="1">
        <f t="array" ref="H20">IF(INDEX(T_Info[],MATCH(T_Fe[[#This Row],[Codigo]],T_Info[Codigo],0),COLUMN(T_Info[Postensado]))&lt;&gt;"",INDEX(T_Info[],MATCH(T_Fe[[#This Row],[Codigo]],T_Info[Codigo],0),COLUMN(T_Info[Postensado])),"")</f>
        <v/>
      </c>
      <c r="I20" s="30" t="str" cm="1">
        <f t="array" ref="I20">IF(INDEX(T_Info[],MATCH(T_Fe[[#This Row],[Codigo]],T_Info[Codigo],0),COLUMN(T_Info[Losa Fundación]))&lt;&gt;"",INDEX(T_Info[],MATCH(T_Fe[[#This Row],[Codigo]],T_Info[Codigo],0),COLUMN(T_Info[Losa Fundación])),"")</f>
        <v/>
      </c>
      <c r="J20" s="33">
        <v>4611.6000000000004</v>
      </c>
      <c r="K20" s="33">
        <v>0</v>
      </c>
      <c r="L20" s="33">
        <v>375845.4</v>
      </c>
      <c r="M20" s="33">
        <v>0</v>
      </c>
      <c r="N20" s="33">
        <v>87620.4</v>
      </c>
      <c r="O20" s="33">
        <v>0</v>
      </c>
      <c r="P20" s="33">
        <v>0</v>
      </c>
      <c r="Q20" s="33">
        <v>290530.8</v>
      </c>
      <c r="R20" s="33"/>
      <c r="S20" s="33"/>
      <c r="T20" s="33"/>
      <c r="U20" s="33">
        <f>SUM(T_Fe[[#This Row],[Fund kg]:[Cierros kg]])</f>
        <v>758608.2</v>
      </c>
      <c r="V20" s="22">
        <f>IFERROR(T_Fe[[#This Row],[Fund kg]]/T_Fe[[#This Row],[Superficie m2]],)</f>
        <v>0.2</v>
      </c>
      <c r="W20" s="22">
        <f>IFERROR(T_Fe[[#This Row],[Muros kg]]/T_Fe[[#This Row],[Superficie m2]],)</f>
        <v>16.3</v>
      </c>
      <c r="X20" s="22">
        <f>IFERROR(T_Fe[[#This Row],[Perimetrales kg]]/T_Fe[[#This Row],[Superficie m2]],)</f>
        <v>0</v>
      </c>
      <c r="Y20" s="22">
        <f>IFERROR(T_Fe[[#This Row],[Vigas kg]]/T_Fe[[#This Row],[Superficie m2]],)</f>
        <v>3.8</v>
      </c>
      <c r="Z20" s="22">
        <f>IFERROR(T_Fe[[#This Row],[Losas kg]]/T_Fe[[#This Row],[Superficie m2]],)</f>
        <v>12.6</v>
      </c>
      <c r="AA20" s="22">
        <f>IFERROR(T_Fe[[#This Row],[Total kg]]/T_Fe[[#This Row],[Superficie m2]],)</f>
        <v>32.9</v>
      </c>
    </row>
    <row r="21" spans="1:27" x14ac:dyDescent="0.25">
      <c r="A21" s="30">
        <v>15103</v>
      </c>
      <c r="B21" s="31" t="str" cm="1">
        <f t="array" ref="B21">INDEX(T_Info[],MATCH(T_Fe[[#This Row],[Codigo]],T_Info[Codigo],0),COLUMN(T_Info[Proyecto]))</f>
        <v>Cap. Orella</v>
      </c>
      <c r="C21" s="30" t="str" cm="1">
        <f t="array" ref="C21">INDEX(T_Info[],MATCH(T_Fe[[#This Row],[Codigo]],T_Info[Codigo],0),COLUMN(T_Info[T.S]))</f>
        <v>B</v>
      </c>
      <c r="D21" s="30" cm="1">
        <f t="array" ref="D21">INDEX(T_Info[],MATCH(T_Fe[[#This Row],[Codigo]],T_Info[Codigo],0),COLUMN(T_Info[Z.S]))</f>
        <v>2</v>
      </c>
      <c r="E21" s="30" cm="1">
        <f t="array" ref="E21">INDEX(T_Info[],MATCH(T_Fe[[#This Row],[Codigo]],T_Info[Codigo],0),COLUMN(T_Info[Pisos]))</f>
        <v>16</v>
      </c>
      <c r="F21" s="30" cm="1">
        <f t="array" ref="F21">INDEX(T_Info[],MATCH(T_Fe[[#This Row],[Codigo]],T_Info[Codigo],0),COLUMN(T_Info[Subt.]))</f>
        <v>3</v>
      </c>
      <c r="G21" s="32" cm="1">
        <f t="array" ref="G21">INDEX(T_Info[],MATCH(T_Fe[[#This Row],[Codigo]],T_Info[Codigo],0),COLUMN(T_Info[Superficie m2]))</f>
        <v>19333</v>
      </c>
      <c r="H21" s="30" t="str" cm="1">
        <f t="array" ref="H21">IF(INDEX(T_Info[],MATCH(T_Fe[[#This Row],[Codigo]],T_Info[Codigo],0),COLUMN(T_Info[Postensado]))&lt;&gt;"",INDEX(T_Info[],MATCH(T_Fe[[#This Row],[Codigo]],T_Info[Codigo],0),COLUMN(T_Info[Postensado])),"")</f>
        <v/>
      </c>
      <c r="I21" s="30" t="str" cm="1">
        <f t="array" ref="I21">IF(INDEX(T_Info[],MATCH(T_Fe[[#This Row],[Codigo]],T_Info[Codigo],0),COLUMN(T_Info[Losa Fundación]))&lt;&gt;"",INDEX(T_Info[],MATCH(T_Fe[[#This Row],[Codigo]],T_Info[Codigo],0),COLUMN(T_Info[Losa Fundación])),"")</f>
        <v/>
      </c>
      <c r="J21" s="33">
        <v>8055.0475051556214</v>
      </c>
      <c r="K21" s="33">
        <v>0</v>
      </c>
      <c r="L21" s="33">
        <v>243651.17722661508</v>
      </c>
      <c r="M21" s="33">
        <v>0</v>
      </c>
      <c r="N21" s="33">
        <v>123869.80006434504</v>
      </c>
      <c r="O21" s="33">
        <v>0</v>
      </c>
      <c r="P21" s="33">
        <v>0</v>
      </c>
      <c r="Q21" s="33">
        <v>289070.18291577167</v>
      </c>
      <c r="R21" s="33"/>
      <c r="S21" s="33"/>
      <c r="T21" s="33"/>
      <c r="U21" s="33">
        <f>SUM(T_Fe[[#This Row],[Fund kg]:[Cierros kg]])</f>
        <v>664646.20771188731</v>
      </c>
      <c r="V21" s="22">
        <f>IFERROR(T_Fe[[#This Row],[Fund kg]]/T_Fe[[#This Row],[Superficie m2]],)</f>
        <v>0.41664757177652828</v>
      </c>
      <c r="W21" s="22">
        <f>IFERROR(T_Fe[[#This Row],[Muros kg]]/T_Fe[[#This Row],[Superficie m2]],)</f>
        <v>12.602864388693689</v>
      </c>
      <c r="X21" s="22">
        <f>IFERROR(T_Fe[[#This Row],[Perimetrales kg]]/T_Fe[[#This Row],[Superficie m2]],)</f>
        <v>0</v>
      </c>
      <c r="Y21" s="22">
        <f>IFERROR(T_Fe[[#This Row],[Vigas kg]]/T_Fe[[#This Row],[Superficie m2]],)</f>
        <v>6.4071690924504754</v>
      </c>
      <c r="Z21" s="22">
        <f>IFERROR(T_Fe[[#This Row],[Losas kg]]/T_Fe[[#This Row],[Superficie m2]],)</f>
        <v>14.952163808812481</v>
      </c>
      <c r="AA21" s="22">
        <f>IFERROR(T_Fe[[#This Row],[Total kg]]/T_Fe[[#This Row],[Superficie m2]],)</f>
        <v>34.378844861733164</v>
      </c>
    </row>
    <row r="22" spans="1:27" x14ac:dyDescent="0.25">
      <c r="A22" s="30">
        <v>15106</v>
      </c>
      <c r="B22" s="31" t="str" cm="1">
        <f t="array" ref="B22">INDEX(T_Info[],MATCH(T_Fe[[#This Row],[Codigo]],T_Info[Codigo],0),COLUMN(T_Info[Proyecto]))</f>
        <v>Tocornal 2</v>
      </c>
      <c r="C22" s="30" t="str" cm="1">
        <f t="array" ref="C22">INDEX(T_Info[],MATCH(T_Fe[[#This Row],[Codigo]],T_Info[Codigo],0),COLUMN(T_Info[T.S]))</f>
        <v>B</v>
      </c>
      <c r="D22" s="30" cm="1">
        <f t="array" ref="D22">INDEX(T_Info[],MATCH(T_Fe[[#This Row],[Codigo]],T_Info[Codigo],0),COLUMN(T_Info[Z.S]))</f>
        <v>2</v>
      </c>
      <c r="E22" s="30" cm="1">
        <f t="array" ref="E22">INDEX(T_Info[],MATCH(T_Fe[[#This Row],[Codigo]],T_Info[Codigo],0),COLUMN(T_Info[Pisos]))</f>
        <v>9</v>
      </c>
      <c r="F22" s="30" cm="1">
        <f t="array" ref="F22">INDEX(T_Info[],MATCH(T_Fe[[#This Row],[Codigo]],T_Info[Codigo],0),COLUMN(T_Info[Subt.]))</f>
        <v>2</v>
      </c>
      <c r="G22" s="32" cm="1">
        <f t="array" ref="G22">INDEX(T_Info[],MATCH(T_Fe[[#This Row],[Codigo]],T_Info[Codigo],0),COLUMN(T_Info[Superficie m2]))</f>
        <v>10068</v>
      </c>
      <c r="H22" s="30" t="str" cm="1">
        <f t="array" ref="H22">IF(INDEX(T_Info[],MATCH(T_Fe[[#This Row],[Codigo]],T_Info[Codigo],0),COLUMN(T_Info[Postensado]))&lt;&gt;"",INDEX(T_Info[],MATCH(T_Fe[[#This Row],[Codigo]],T_Info[Codigo],0),COLUMN(T_Info[Postensado])),"")</f>
        <v/>
      </c>
      <c r="I22" s="30" t="str" cm="1">
        <f t="array" ref="I22">IF(INDEX(T_Info[],MATCH(T_Fe[[#This Row],[Codigo]],T_Info[Codigo],0),COLUMN(T_Info[Losa Fundación]))&lt;&gt;"",INDEX(T_Info[],MATCH(T_Fe[[#This Row],[Codigo]],T_Info[Codigo],0),COLUMN(T_Info[Losa Fundación])),"")</f>
        <v/>
      </c>
      <c r="J22" s="33">
        <v>2401.7400000000002</v>
      </c>
      <c r="K22" s="33">
        <v>0</v>
      </c>
      <c r="L22" s="33">
        <v>135436.41999999998</v>
      </c>
      <c r="M22" s="33">
        <v>0</v>
      </c>
      <c r="N22" s="33">
        <v>25541.26</v>
      </c>
      <c r="O22" s="33">
        <v>0</v>
      </c>
      <c r="P22" s="33">
        <v>0</v>
      </c>
      <c r="Q22" s="33">
        <v>125968.53999999998</v>
      </c>
      <c r="R22" s="33"/>
      <c r="S22" s="33"/>
      <c r="T22" s="33"/>
      <c r="U22" s="33">
        <f>SUM(T_Fe[[#This Row],[Fund kg]:[Cierros kg]])</f>
        <v>289347.95999999996</v>
      </c>
      <c r="V22" s="22">
        <f>IFERROR(T_Fe[[#This Row],[Fund kg]]/T_Fe[[#This Row],[Superficie m2]],)</f>
        <v>0.23855184743742552</v>
      </c>
      <c r="W22" s="22">
        <f>IFERROR(T_Fe[[#This Row],[Muros kg]]/T_Fe[[#This Row],[Superficie m2]],)</f>
        <v>13.452167262614221</v>
      </c>
      <c r="X22" s="22">
        <f>IFERROR(T_Fe[[#This Row],[Perimetrales kg]]/T_Fe[[#This Row],[Superficie m2]],)</f>
        <v>0</v>
      </c>
      <c r="Y22" s="22">
        <f>IFERROR(T_Fe[[#This Row],[Vigas kg]]/T_Fe[[#This Row],[Superficie m2]],)</f>
        <v>2.5368752483114818</v>
      </c>
      <c r="Z22" s="22">
        <f>IFERROR(T_Fe[[#This Row],[Losas kg]]/T_Fe[[#This Row],[Superficie m2]],)</f>
        <v>12.511773937226856</v>
      </c>
      <c r="AA22" s="22">
        <f>IFERROR(T_Fe[[#This Row],[Total kg]]/T_Fe[[#This Row],[Superficie m2]],)</f>
        <v>28.739368295589983</v>
      </c>
    </row>
    <row r="23" spans="1:27" x14ac:dyDescent="0.25">
      <c r="A23" s="30">
        <v>16001</v>
      </c>
      <c r="B23" s="31" t="str" cm="1">
        <f t="array" ref="B23">INDEX(T_Info[],MATCH(T_Fe[[#This Row],[Codigo]],T_Info[Codigo],0),COLUMN(T_Info[Proyecto]))</f>
        <v>Suecia</v>
      </c>
      <c r="C23" s="30" t="str" cm="1">
        <f t="array" ref="C23">INDEX(T_Info[],MATCH(T_Fe[[#This Row],[Codigo]],T_Info[Codigo],0),COLUMN(T_Info[T.S]))</f>
        <v>B</v>
      </c>
      <c r="D23" s="30" cm="1">
        <f t="array" ref="D23">INDEX(T_Info[],MATCH(T_Fe[[#This Row],[Codigo]],T_Info[Codigo],0),COLUMN(T_Info[Z.S]))</f>
        <v>2</v>
      </c>
      <c r="E23" s="30" cm="1">
        <f t="array" ref="E23">INDEX(T_Info[],MATCH(T_Fe[[#This Row],[Codigo]],T_Info[Codigo],0),COLUMN(T_Info[Pisos]))</f>
        <v>7</v>
      </c>
      <c r="F23" s="30" cm="1">
        <f t="array" ref="F23">INDEX(T_Info[],MATCH(T_Fe[[#This Row],[Codigo]],T_Info[Codigo],0),COLUMN(T_Info[Subt.]))</f>
        <v>2</v>
      </c>
      <c r="G23" s="32" cm="1">
        <f t="array" ref="G23">INDEX(T_Info[],MATCH(T_Fe[[#This Row],[Codigo]],T_Info[Codigo],0),COLUMN(T_Info[Superficie m2]))</f>
        <v>11324</v>
      </c>
      <c r="H23" s="30" t="str" cm="1">
        <f t="array" ref="H23">IF(INDEX(T_Info[],MATCH(T_Fe[[#This Row],[Codigo]],T_Info[Codigo],0),COLUMN(T_Info[Postensado]))&lt;&gt;"",INDEX(T_Info[],MATCH(T_Fe[[#This Row],[Codigo]],T_Info[Codigo],0),COLUMN(T_Info[Postensado])),"")</f>
        <v/>
      </c>
      <c r="I23" s="30" t="str" cm="1">
        <f t="array" ref="I23">IF(INDEX(T_Info[],MATCH(T_Fe[[#This Row],[Codigo]],T_Info[Codigo],0),COLUMN(T_Info[Losa Fundación]))&lt;&gt;"",INDEX(T_Info[],MATCH(T_Fe[[#This Row],[Codigo]],T_Info[Codigo],0),COLUMN(T_Info[Losa Fundación])),"")</f>
        <v/>
      </c>
      <c r="J23" s="33">
        <v>2996.7661596202674</v>
      </c>
      <c r="K23" s="33">
        <v>0</v>
      </c>
      <c r="L23" s="33">
        <v>186660.70090915111</v>
      </c>
      <c r="M23" s="33">
        <v>0</v>
      </c>
      <c r="N23" s="33">
        <v>28130.821044265373</v>
      </c>
      <c r="O23" s="33">
        <v>0</v>
      </c>
      <c r="P23" s="33">
        <v>0</v>
      </c>
      <c r="Q23" s="33">
        <v>158158.23166000666</v>
      </c>
      <c r="R23" s="33"/>
      <c r="S23" s="33"/>
      <c r="T23" s="33"/>
      <c r="U23" s="33">
        <f>SUM(T_Fe[[#This Row],[Fund kg]:[Cierros kg]])</f>
        <v>375946.51977304346</v>
      </c>
      <c r="V23" s="22">
        <f>IFERROR(T_Fe[[#This Row],[Fund kg]]/T_Fe[[#This Row],[Superficie m2]],)</f>
        <v>0.26463848106855065</v>
      </c>
      <c r="W23" s="22">
        <f>IFERROR(T_Fe[[#This Row],[Muros kg]]/T_Fe[[#This Row],[Superficie m2]],)</f>
        <v>16.483636604481731</v>
      </c>
      <c r="X23" s="22">
        <f>IFERROR(T_Fe[[#This Row],[Perimetrales kg]]/T_Fe[[#This Row],[Superficie m2]],)</f>
        <v>0</v>
      </c>
      <c r="Y23" s="22">
        <f>IFERROR(T_Fe[[#This Row],[Vigas kg]]/T_Fe[[#This Row],[Superficie m2]],)</f>
        <v>2.4841770614858154</v>
      </c>
      <c r="Z23" s="22">
        <f>IFERROR(T_Fe[[#This Row],[Losas kg]]/T_Fe[[#This Row],[Superficie m2]],)</f>
        <v>13.966640026492993</v>
      </c>
      <c r="AA23" s="22">
        <f>IFERROR(T_Fe[[#This Row],[Total kg]]/T_Fe[[#This Row],[Superficie m2]],)</f>
        <v>33.199092173529095</v>
      </c>
    </row>
    <row r="24" spans="1:27" x14ac:dyDescent="0.25">
      <c r="A24" s="30">
        <v>16002</v>
      </c>
      <c r="B24" s="31" t="str" cm="1">
        <f t="array" ref="B24">INDEX(T_Info[],MATCH(T_Fe[[#This Row],[Codigo]],T_Info[Codigo],0),COLUMN(T_Info[Proyecto]))</f>
        <v>Mujica T1</v>
      </c>
      <c r="C24" s="30" t="str" cm="1">
        <f t="array" ref="C24">INDEX(T_Info[],MATCH(T_Fe[[#This Row],[Codigo]],T_Info[Codigo],0),COLUMN(T_Info[T.S]))</f>
        <v>B</v>
      </c>
      <c r="D24" s="30" cm="1">
        <f t="array" ref="D24">INDEX(T_Info[],MATCH(T_Fe[[#This Row],[Codigo]],T_Info[Codigo],0),COLUMN(T_Info[Z.S]))</f>
        <v>2</v>
      </c>
      <c r="E24" s="30" cm="1">
        <f t="array" ref="E24">INDEX(T_Info[],MATCH(T_Fe[[#This Row],[Codigo]],T_Info[Codigo],0),COLUMN(T_Info[Pisos]))</f>
        <v>13</v>
      </c>
      <c r="F24" s="30" cm="1">
        <f t="array" ref="F24">INDEX(T_Info[],MATCH(T_Fe[[#This Row],[Codigo]],T_Info[Codigo],0),COLUMN(T_Info[Subt.]))</f>
        <v>2</v>
      </c>
      <c r="G24" s="32" cm="1">
        <f t="array" ref="G24">INDEX(T_Info[],MATCH(T_Fe[[#This Row],[Codigo]],T_Info[Codigo],0),COLUMN(T_Info[Superficie m2]))</f>
        <v>11607</v>
      </c>
      <c r="H24" s="30" t="str" cm="1">
        <f t="array" ref="H24">IF(INDEX(T_Info[],MATCH(T_Fe[[#This Row],[Codigo]],T_Info[Codigo],0),COLUMN(T_Info[Postensado]))&lt;&gt;"",INDEX(T_Info[],MATCH(T_Fe[[#This Row],[Codigo]],T_Info[Codigo],0),COLUMN(T_Info[Postensado])),"")</f>
        <v/>
      </c>
      <c r="I24" s="30" t="str" cm="1">
        <f t="array" ref="I24">IF(INDEX(T_Info[],MATCH(T_Fe[[#This Row],[Codigo]],T_Info[Codigo],0),COLUMN(T_Info[Losa Fundación]))&lt;&gt;"",INDEX(T_Info[],MATCH(T_Fe[[#This Row],[Codigo]],T_Info[Codigo],0),COLUMN(T_Info[Losa Fundación])),"")</f>
        <v/>
      </c>
      <c r="J24" s="33">
        <v>4276.9799999999996</v>
      </c>
      <c r="K24" s="33">
        <v>0</v>
      </c>
      <c r="L24" s="33">
        <v>152958.90000000002</v>
      </c>
      <c r="M24" s="33">
        <v>0</v>
      </c>
      <c r="N24" s="33">
        <v>49150.360000000008</v>
      </c>
      <c r="O24" s="33">
        <v>0</v>
      </c>
      <c r="P24" s="33">
        <v>0</v>
      </c>
      <c r="Q24" s="33">
        <v>134115.23000000001</v>
      </c>
      <c r="R24" s="33"/>
      <c r="S24" s="33"/>
      <c r="T24" s="33"/>
      <c r="U24" s="33">
        <f>SUM(T_Fe[[#This Row],[Fund kg]:[Cierros kg]])</f>
        <v>340501.47000000009</v>
      </c>
      <c r="V24" s="22">
        <f>IFERROR(T_Fe[[#This Row],[Fund kg]]/T_Fe[[#This Row],[Superficie m2]],)</f>
        <v>0.36848281209614886</v>
      </c>
      <c r="W24" s="22">
        <f>IFERROR(T_Fe[[#This Row],[Muros kg]]/T_Fe[[#This Row],[Superficie m2]],)</f>
        <v>13.178159731196693</v>
      </c>
      <c r="X24" s="22">
        <f>IFERROR(T_Fe[[#This Row],[Perimetrales kg]]/T_Fe[[#This Row],[Superficie m2]],)</f>
        <v>0</v>
      </c>
      <c r="Y24" s="22">
        <f>IFERROR(T_Fe[[#This Row],[Vigas kg]]/T_Fe[[#This Row],[Superficie m2]],)</f>
        <v>4.234544671319032</v>
      </c>
      <c r="Z24" s="22">
        <f>IFERROR(T_Fe[[#This Row],[Losas kg]]/T_Fe[[#This Row],[Superficie m2]],)</f>
        <v>11.554685103816663</v>
      </c>
      <c r="AA24" s="22">
        <f>IFERROR(T_Fe[[#This Row],[Total kg]]/T_Fe[[#This Row],[Superficie m2]],)</f>
        <v>29.335872318428542</v>
      </c>
    </row>
    <row r="25" spans="1:27" x14ac:dyDescent="0.25">
      <c r="A25" s="30">
        <v>16003</v>
      </c>
      <c r="B25" s="31" t="str" cm="1">
        <f t="array" ref="B25">INDEX(T_Info[],MATCH(T_Fe[[#This Row],[Codigo]],T_Info[Codigo],0),COLUMN(T_Info[Proyecto]))</f>
        <v>Mujica T2</v>
      </c>
      <c r="C25" s="30" t="str" cm="1">
        <f t="array" ref="C25">INDEX(T_Info[],MATCH(T_Fe[[#This Row],[Codigo]],T_Info[Codigo],0),COLUMN(T_Info[T.S]))</f>
        <v>B</v>
      </c>
      <c r="D25" s="30" cm="1">
        <f t="array" ref="D25">INDEX(T_Info[],MATCH(T_Fe[[#This Row],[Codigo]],T_Info[Codigo],0),COLUMN(T_Info[Z.S]))</f>
        <v>2</v>
      </c>
      <c r="E25" s="30" cm="1">
        <f t="array" ref="E25">INDEX(T_Info[],MATCH(T_Fe[[#This Row],[Codigo]],T_Info[Codigo],0),COLUMN(T_Info[Pisos]))</f>
        <v>14</v>
      </c>
      <c r="F25" s="30" cm="1">
        <f t="array" ref="F25">INDEX(T_Info[],MATCH(T_Fe[[#This Row],[Codigo]],T_Info[Codigo],0),COLUMN(T_Info[Subt.]))</f>
        <v>3</v>
      </c>
      <c r="G25" s="32" cm="1">
        <f t="array" ref="G25">INDEX(T_Info[],MATCH(T_Fe[[#This Row],[Codigo]],T_Info[Codigo],0),COLUMN(T_Info[Superficie m2]))</f>
        <v>15412</v>
      </c>
      <c r="H25" s="30" t="str" cm="1">
        <f t="array" ref="H25">IF(INDEX(T_Info[],MATCH(T_Fe[[#This Row],[Codigo]],T_Info[Codigo],0),COLUMN(T_Info[Postensado]))&lt;&gt;"",INDEX(T_Info[],MATCH(T_Fe[[#This Row],[Codigo]],T_Info[Codigo],0),COLUMN(T_Info[Postensado])),"")</f>
        <v/>
      </c>
      <c r="I25" s="30" t="str" cm="1">
        <f t="array" ref="I25">IF(INDEX(T_Info[],MATCH(T_Fe[[#This Row],[Codigo]],T_Info[Codigo],0),COLUMN(T_Info[Losa Fundación]))&lt;&gt;"",INDEX(T_Info[],MATCH(T_Fe[[#This Row],[Codigo]],T_Info[Codigo],0),COLUMN(T_Info[Losa Fundación])),"")</f>
        <v/>
      </c>
      <c r="J25" s="33">
        <v>4081.8193582042491</v>
      </c>
      <c r="K25" s="33">
        <v>0</v>
      </c>
      <c r="L25" s="33">
        <v>176446.2295219817</v>
      </c>
      <c r="M25" s="33">
        <v>0</v>
      </c>
      <c r="N25" s="33">
        <v>62090.829081556527</v>
      </c>
      <c r="O25" s="33">
        <v>0</v>
      </c>
      <c r="P25" s="33">
        <v>0</v>
      </c>
      <c r="Q25" s="33">
        <v>176468.09898276583</v>
      </c>
      <c r="R25" s="33"/>
      <c r="S25" s="33"/>
      <c r="T25" s="33"/>
      <c r="U25" s="33">
        <f>SUM(T_Fe[[#This Row],[Fund kg]:[Cierros kg]])</f>
        <v>419086.97694450832</v>
      </c>
      <c r="V25" s="22">
        <f>IFERROR(T_Fe[[#This Row],[Fund kg]]/T_Fe[[#This Row],[Superficie m2]],)</f>
        <v>0.26484683092423106</v>
      </c>
      <c r="W25" s="22">
        <f>IFERROR(T_Fe[[#This Row],[Muros kg]]/T_Fe[[#This Row],[Superficie m2]],)</f>
        <v>11.448626364000889</v>
      </c>
      <c r="X25" s="22">
        <f>IFERROR(T_Fe[[#This Row],[Perimetrales kg]]/T_Fe[[#This Row],[Superficie m2]],)</f>
        <v>0</v>
      </c>
      <c r="Y25" s="22">
        <f>IFERROR(T_Fe[[#This Row],[Vigas kg]]/T_Fe[[#This Row],[Superficie m2]],)</f>
        <v>4.0287327460132705</v>
      </c>
      <c r="Z25" s="22">
        <f>IFERROR(T_Fe[[#This Row],[Losas kg]]/T_Fe[[#This Row],[Superficie m2]],)</f>
        <v>11.45004535315117</v>
      </c>
      <c r="AA25" s="22">
        <f>IFERROR(T_Fe[[#This Row],[Total kg]]/T_Fe[[#This Row],[Superficie m2]],)</f>
        <v>27.192251294089562</v>
      </c>
    </row>
    <row r="26" spans="1:27" x14ac:dyDescent="0.25">
      <c r="A26" s="30">
        <v>16018</v>
      </c>
      <c r="B26" s="31" t="str" cm="1">
        <f t="array" ref="B26">INDEX(T_Info[],MATCH(T_Fe[[#This Row],[Codigo]],T_Info[Codigo],0),COLUMN(T_Info[Proyecto]))</f>
        <v>Plaza Almeyda II</v>
      </c>
      <c r="C26" s="30" t="str" cm="1">
        <f t="array" ref="C26">INDEX(T_Info[],MATCH(T_Fe[[#This Row],[Codigo]],T_Info[Codigo],0),COLUMN(T_Info[T.S]))</f>
        <v>C</v>
      </c>
      <c r="D26" s="30" cm="1">
        <f t="array" ref="D26">INDEX(T_Info[],MATCH(T_Fe[[#This Row],[Codigo]],T_Info[Codigo],0),COLUMN(T_Info[Z.S]))</f>
        <v>2</v>
      </c>
      <c r="E26" s="30" cm="1">
        <f t="array" ref="E26">INDEX(T_Info[],MATCH(T_Fe[[#This Row],[Codigo]],T_Info[Codigo],0),COLUMN(T_Info[Pisos]))</f>
        <v>5</v>
      </c>
      <c r="F26" s="30" cm="1">
        <f t="array" ref="F26">INDEX(T_Info[],MATCH(T_Fe[[#This Row],[Codigo]],T_Info[Codigo],0),COLUMN(T_Info[Subt.]))</f>
        <v>3</v>
      </c>
      <c r="G26" s="32" cm="1">
        <f t="array" ref="G26">INDEX(T_Info[],MATCH(T_Fe[[#This Row],[Codigo]],T_Info[Codigo],0),COLUMN(T_Info[Superficie m2]))</f>
        <v>10939</v>
      </c>
      <c r="H26" s="30" t="str" cm="1">
        <f t="array" ref="H26">IF(INDEX(T_Info[],MATCH(T_Fe[[#This Row],[Codigo]],T_Info[Codigo],0),COLUMN(T_Info[Postensado]))&lt;&gt;"",INDEX(T_Info[],MATCH(T_Fe[[#This Row],[Codigo]],T_Info[Codigo],0),COLUMN(T_Info[Postensado])),"")</f>
        <v/>
      </c>
      <c r="I26" s="30" t="str" cm="1">
        <f t="array" ref="I26">IF(INDEX(T_Info[],MATCH(T_Fe[[#This Row],[Codigo]],T_Info[Codigo],0),COLUMN(T_Info[Losa Fundación]))&lt;&gt;"",INDEX(T_Info[],MATCH(T_Fe[[#This Row],[Codigo]],T_Info[Codigo],0),COLUMN(T_Info[Losa Fundación])),"")</f>
        <v/>
      </c>
      <c r="J26" s="33">
        <v>3281.7</v>
      </c>
      <c r="K26" s="33">
        <v>0</v>
      </c>
      <c r="L26" s="33">
        <v>160803.29999999999</v>
      </c>
      <c r="M26" s="33">
        <v>0</v>
      </c>
      <c r="N26" s="33">
        <v>41568.199999999997</v>
      </c>
      <c r="O26" s="33">
        <v>0</v>
      </c>
      <c r="P26" s="33">
        <v>0</v>
      </c>
      <c r="Q26" s="33">
        <v>137831.4</v>
      </c>
      <c r="R26" s="33"/>
      <c r="S26" s="33"/>
      <c r="T26" s="33"/>
      <c r="U26" s="33">
        <f>SUM(T_Fe[[#This Row],[Fund kg]:[Cierros kg]])</f>
        <v>343484.6</v>
      </c>
      <c r="V26" s="22">
        <f>IFERROR(T_Fe[[#This Row],[Fund kg]]/T_Fe[[#This Row],[Superficie m2]],)</f>
        <v>0.3</v>
      </c>
      <c r="W26" s="22">
        <f>IFERROR(T_Fe[[#This Row],[Muros kg]]/T_Fe[[#This Row],[Superficie m2]],)</f>
        <v>14.7</v>
      </c>
      <c r="X26" s="22">
        <f>IFERROR(T_Fe[[#This Row],[Perimetrales kg]]/T_Fe[[#This Row],[Superficie m2]],)</f>
        <v>0</v>
      </c>
      <c r="Y26" s="22">
        <f>IFERROR(T_Fe[[#This Row],[Vigas kg]]/T_Fe[[#This Row],[Superficie m2]],)</f>
        <v>3.8</v>
      </c>
      <c r="Z26" s="22">
        <f>IFERROR(T_Fe[[#This Row],[Losas kg]]/T_Fe[[#This Row],[Superficie m2]],)</f>
        <v>12.6</v>
      </c>
      <c r="AA26" s="22">
        <f>IFERROR(T_Fe[[#This Row],[Total kg]]/T_Fe[[#This Row],[Superficie m2]],)</f>
        <v>31.4</v>
      </c>
    </row>
    <row r="27" spans="1:27" x14ac:dyDescent="0.25">
      <c r="A27" s="30">
        <v>16046</v>
      </c>
      <c r="B27" s="31" t="str" cm="1">
        <f t="array" ref="B27">INDEX(T_Info[],MATCH(T_Fe[[#This Row],[Codigo]],T_Info[Codigo],0),COLUMN(T_Info[Proyecto]))</f>
        <v>Blest Gana II</v>
      </c>
      <c r="C27" s="30" t="str" cm="1">
        <f t="array" ref="C27">INDEX(T_Info[],MATCH(T_Fe[[#This Row],[Codigo]],T_Info[Codigo],0),COLUMN(T_Info[T.S]))</f>
        <v>D</v>
      </c>
      <c r="D27" s="30" cm="1">
        <f t="array" ref="D27">INDEX(T_Info[],MATCH(T_Fe[[#This Row],[Codigo]],T_Info[Codigo],0),COLUMN(T_Info[Z.S]))</f>
        <v>2</v>
      </c>
      <c r="E27" s="30" cm="1">
        <f t="array" ref="E27">INDEX(T_Info[],MATCH(T_Fe[[#This Row],[Codigo]],T_Info[Codigo],0),COLUMN(T_Info[Pisos]))</f>
        <v>11</v>
      </c>
      <c r="F27" s="30" cm="1">
        <f t="array" ref="F27">INDEX(T_Info[],MATCH(T_Fe[[#This Row],[Codigo]],T_Info[Codigo],0),COLUMN(T_Info[Subt.]))</f>
        <v>2</v>
      </c>
      <c r="G27" s="32" cm="1">
        <f t="array" ref="G27">INDEX(T_Info[],MATCH(T_Fe[[#This Row],[Codigo]],T_Info[Codigo],0),COLUMN(T_Info[Superficie m2]))</f>
        <v>16548</v>
      </c>
      <c r="H27" s="30" t="str" cm="1">
        <f t="array" ref="H27">IF(INDEX(T_Info[],MATCH(T_Fe[[#This Row],[Codigo]],T_Info[Codigo],0),COLUMN(T_Info[Postensado]))&lt;&gt;"",INDEX(T_Info[],MATCH(T_Fe[[#This Row],[Codigo]],T_Info[Codigo],0),COLUMN(T_Info[Postensado])),"")</f>
        <v/>
      </c>
      <c r="I27" s="30" t="str" cm="1">
        <f t="array" ref="I27">IF(INDEX(T_Info[],MATCH(T_Fe[[#This Row],[Codigo]],T_Info[Codigo],0),COLUMN(T_Info[Losa Fundación]))&lt;&gt;"",INDEX(T_Info[],MATCH(T_Fe[[#This Row],[Codigo]],T_Info[Codigo],0),COLUMN(T_Info[Losa Fundación])),"")</f>
        <v>Si</v>
      </c>
      <c r="J27" s="33">
        <v>104599.60271903961</v>
      </c>
      <c r="K27" s="33">
        <v>0</v>
      </c>
      <c r="L27" s="33">
        <v>505218.90004949085</v>
      </c>
      <c r="M27" s="33">
        <v>0</v>
      </c>
      <c r="N27" s="33">
        <v>76800.185882820733</v>
      </c>
      <c r="O27" s="33">
        <v>0</v>
      </c>
      <c r="P27" s="33">
        <v>0</v>
      </c>
      <c r="Q27" s="33">
        <v>198227.92043787811</v>
      </c>
      <c r="R27" s="33"/>
      <c r="S27" s="33"/>
      <c r="T27" s="33"/>
      <c r="U27" s="33">
        <f>SUM(T_Fe[[#This Row],[Fund kg]:[Cierros kg]])</f>
        <v>884846.60908922937</v>
      </c>
      <c r="V27" s="22">
        <f>IFERROR(T_Fe[[#This Row],[Fund kg]]/T_Fe[[#This Row],[Superficie m2]],)</f>
        <v>6.3209815517911299</v>
      </c>
      <c r="W27" s="22">
        <f>IFERROR(T_Fe[[#This Row],[Muros kg]]/T_Fe[[#This Row],[Superficie m2]],)</f>
        <v>30.530511243019752</v>
      </c>
      <c r="X27" s="22">
        <f>IFERROR(T_Fe[[#This Row],[Perimetrales kg]]/T_Fe[[#This Row],[Superficie m2]],)</f>
        <v>0</v>
      </c>
      <c r="Y27" s="22">
        <f>IFERROR(T_Fe[[#This Row],[Vigas kg]]/T_Fe[[#This Row],[Superficie m2]],)</f>
        <v>4.6410554679006966</v>
      </c>
      <c r="Z27" s="22">
        <f>IFERROR(T_Fe[[#This Row],[Losas kg]]/T_Fe[[#This Row],[Superficie m2]],)</f>
        <v>11.978965460350382</v>
      </c>
      <c r="AA27" s="22">
        <f>IFERROR(T_Fe[[#This Row],[Total kg]]/T_Fe[[#This Row],[Superficie m2]],)</f>
        <v>53.47151372306196</v>
      </c>
    </row>
    <row r="28" spans="1:27" x14ac:dyDescent="0.25">
      <c r="A28" s="30">
        <v>17504</v>
      </c>
      <c r="B28" s="31" t="e" cm="1">
        <f t="array" ref="B28">INDEX(T_Info[],MATCH(T_Fe[[#This Row],[Codigo]],T_Info[Codigo],0),COLUMN(T_Info[Proyecto]))</f>
        <v>#N/A</v>
      </c>
      <c r="C28" s="30" t="e" cm="1">
        <f t="array" ref="C28">INDEX(T_Info[],MATCH(T_Fe[[#This Row],[Codigo]],T_Info[Codigo],0),COLUMN(T_Info[T.S]))</f>
        <v>#N/A</v>
      </c>
      <c r="D28" s="30" t="e" cm="1">
        <f t="array" ref="D28">INDEX(T_Info[],MATCH(T_Fe[[#This Row],[Codigo]],T_Info[Codigo],0),COLUMN(T_Info[Z.S]))</f>
        <v>#N/A</v>
      </c>
      <c r="E28" s="30" t="e" cm="1">
        <f t="array" ref="E28">INDEX(T_Info[],MATCH(T_Fe[[#This Row],[Codigo]],T_Info[Codigo],0),COLUMN(T_Info[Pisos]))</f>
        <v>#N/A</v>
      </c>
      <c r="F28" s="30" t="e" cm="1">
        <f t="array" ref="F28">INDEX(T_Info[],MATCH(T_Fe[[#This Row],[Codigo]],T_Info[Codigo],0),COLUMN(T_Info[Subt.]))</f>
        <v>#N/A</v>
      </c>
      <c r="G28" s="32" t="e" cm="1">
        <f t="array" ref="G28">INDEX(T_Info[],MATCH(T_Fe[[#This Row],[Codigo]],T_Info[Codigo],0),COLUMN(T_Info[Superficie m2]))</f>
        <v>#N/A</v>
      </c>
      <c r="H28" s="30" t="e" cm="1">
        <f t="array" ref="H28">IF(INDEX(T_Info[],MATCH(T_Fe[[#This Row],[Codigo]],T_Info[Codigo],0),COLUMN(T_Info[Postensado]))&lt;&gt;"",INDEX(T_Info[],MATCH(T_Fe[[#This Row],[Codigo]],T_Info[Codigo],0),COLUMN(T_Info[Postensado])),"")</f>
        <v>#N/A</v>
      </c>
      <c r="I28" s="30" t="e" cm="1">
        <f t="array" ref="I28">IF(INDEX(T_Info[],MATCH(T_Fe[[#This Row],[Codigo]],T_Info[Codigo],0),COLUMN(T_Info[Losa Fundación]))&lt;&gt;"",INDEX(T_Info[],MATCH(T_Fe[[#This Row],[Codigo]],T_Info[Codigo],0),COLUMN(T_Info[Losa Fundación])),"")</f>
        <v>#N/A</v>
      </c>
      <c r="J28" s="33">
        <v>5030.1479999999992</v>
      </c>
      <c r="K28" s="33">
        <v>0</v>
      </c>
      <c r="L28" s="33">
        <v>164375.58566161536</v>
      </c>
      <c r="M28" s="33">
        <v>0</v>
      </c>
      <c r="N28" s="33">
        <v>29335.461784714436</v>
      </c>
      <c r="O28" s="33">
        <v>0</v>
      </c>
      <c r="P28" s="33">
        <v>0</v>
      </c>
      <c r="Q28" s="33">
        <v>84913.196963114882</v>
      </c>
      <c r="R28" s="33"/>
      <c r="S28" s="33"/>
      <c r="T28" s="33"/>
      <c r="U28" s="33">
        <f>SUM(T_Fe[[#This Row],[Fund kg]:[Cierros kg]])</f>
        <v>283654.39240944467</v>
      </c>
      <c r="V28" s="22">
        <f>IFERROR(T_Fe[[#This Row],[Fund kg]]/T_Fe[[#This Row],[Superficie m2]],)</f>
        <v>0</v>
      </c>
      <c r="W28" s="22">
        <f>IFERROR(T_Fe[[#This Row],[Muros kg]]/T_Fe[[#This Row],[Superficie m2]],)</f>
        <v>0</v>
      </c>
      <c r="X28" s="22">
        <f>IFERROR(T_Fe[[#This Row],[Perimetrales kg]]/T_Fe[[#This Row],[Superficie m2]],)</f>
        <v>0</v>
      </c>
      <c r="Y28" s="22">
        <f>IFERROR(T_Fe[[#This Row],[Vigas kg]]/T_Fe[[#This Row],[Superficie m2]],)</f>
        <v>0</v>
      </c>
      <c r="Z28" s="22">
        <f>IFERROR(T_Fe[[#This Row],[Losas kg]]/T_Fe[[#This Row],[Superficie m2]],)</f>
        <v>0</v>
      </c>
      <c r="AA28" s="22">
        <f>IFERROR(T_Fe[[#This Row],[Total kg]]/T_Fe[[#This Row],[Superficie m2]],)</f>
        <v>0</v>
      </c>
    </row>
    <row r="29" spans="1:27" x14ac:dyDescent="0.25">
      <c r="A29" s="30">
        <v>17502</v>
      </c>
      <c r="B29" s="31" t="e" cm="1">
        <f t="array" ref="B29">INDEX(T_Info[],MATCH(T_Fe[[#This Row],[Codigo]],T_Info[Codigo],0),COLUMN(T_Info[Proyecto]))</f>
        <v>#N/A</v>
      </c>
      <c r="C29" s="30" t="e" cm="1">
        <f t="array" ref="C29">INDEX(T_Info[],MATCH(T_Fe[[#This Row],[Codigo]],T_Info[Codigo],0),COLUMN(T_Info[T.S]))</f>
        <v>#N/A</v>
      </c>
      <c r="D29" s="30" t="e" cm="1">
        <f t="array" ref="D29">INDEX(T_Info[],MATCH(T_Fe[[#This Row],[Codigo]],T_Info[Codigo],0),COLUMN(T_Info[Z.S]))</f>
        <v>#N/A</v>
      </c>
      <c r="E29" s="30" t="e" cm="1">
        <f t="array" ref="E29">INDEX(T_Info[],MATCH(T_Fe[[#This Row],[Codigo]],T_Info[Codigo],0),COLUMN(T_Info[Pisos]))</f>
        <v>#N/A</v>
      </c>
      <c r="F29" s="30" t="e" cm="1">
        <f t="array" ref="F29">INDEX(T_Info[],MATCH(T_Fe[[#This Row],[Codigo]],T_Info[Codigo],0),COLUMN(T_Info[Subt.]))</f>
        <v>#N/A</v>
      </c>
      <c r="G29" s="32" t="e" cm="1">
        <f t="array" ref="G29">INDEX(T_Info[],MATCH(T_Fe[[#This Row],[Codigo]],T_Info[Codigo],0),COLUMN(T_Info[Superficie m2]))</f>
        <v>#N/A</v>
      </c>
      <c r="H29" s="30" t="e" cm="1">
        <f t="array" ref="H29">IF(INDEX(T_Info[],MATCH(T_Fe[[#This Row],[Codigo]],T_Info[Codigo],0),COLUMN(T_Info[Postensado]))&lt;&gt;"",INDEX(T_Info[],MATCH(T_Fe[[#This Row],[Codigo]],T_Info[Codigo],0),COLUMN(T_Info[Postensado])),"")</f>
        <v>#N/A</v>
      </c>
      <c r="I29" s="30" t="e" cm="1">
        <f t="array" ref="I29">IF(INDEX(T_Info[],MATCH(T_Fe[[#This Row],[Codigo]],T_Info[Codigo],0),COLUMN(T_Info[Losa Fundación]))&lt;&gt;"",INDEX(T_Info[],MATCH(T_Fe[[#This Row],[Codigo]],T_Info[Codigo],0),COLUMN(T_Info[Losa Fundación])),"")</f>
        <v>#N/A</v>
      </c>
      <c r="J29" s="33">
        <v>6222.6065000000008</v>
      </c>
      <c r="K29" s="33">
        <v>0</v>
      </c>
      <c r="L29" s="33">
        <v>160995.8009</v>
      </c>
      <c r="M29" s="33">
        <v>0</v>
      </c>
      <c r="N29" s="33">
        <v>36656.809200000003</v>
      </c>
      <c r="O29" s="33">
        <v>0</v>
      </c>
      <c r="P29" s="33">
        <v>0</v>
      </c>
      <c r="Q29" s="33">
        <v>165800.10999999996</v>
      </c>
      <c r="R29" s="33"/>
      <c r="S29" s="33"/>
      <c r="T29" s="33"/>
      <c r="U29" s="33">
        <f>SUM(T_Fe[[#This Row],[Fund kg]:[Cierros kg]])</f>
        <v>369675.32659999991</v>
      </c>
      <c r="V29" s="22">
        <f>IFERROR(T_Fe[[#This Row],[Fund kg]]/T_Fe[[#This Row],[Superficie m2]],)</f>
        <v>0</v>
      </c>
      <c r="W29" s="22">
        <f>IFERROR(T_Fe[[#This Row],[Muros kg]]/T_Fe[[#This Row],[Superficie m2]],)</f>
        <v>0</v>
      </c>
      <c r="X29" s="22">
        <f>IFERROR(T_Fe[[#This Row],[Perimetrales kg]]/T_Fe[[#This Row],[Superficie m2]],)</f>
        <v>0</v>
      </c>
      <c r="Y29" s="22">
        <f>IFERROR(T_Fe[[#This Row],[Vigas kg]]/T_Fe[[#This Row],[Superficie m2]],)</f>
        <v>0</v>
      </c>
      <c r="Z29" s="22">
        <f>IFERROR(T_Fe[[#This Row],[Losas kg]]/T_Fe[[#This Row],[Superficie m2]],)</f>
        <v>0</v>
      </c>
      <c r="AA29" s="22">
        <f>IFERROR(T_Fe[[#This Row],[Total kg]]/T_Fe[[#This Row],[Superficie m2]],)</f>
        <v>0</v>
      </c>
    </row>
    <row r="30" spans="1:27" x14ac:dyDescent="0.25">
      <c r="A30" s="30">
        <v>16061</v>
      </c>
      <c r="B30" s="31" t="str" cm="1">
        <f t="array" ref="B30">INDEX(T_Info[],MATCH(T_Fe[[#This Row],[Codigo]],T_Info[Codigo],0),COLUMN(T_Info[Proyecto]))</f>
        <v>Sucre</v>
      </c>
      <c r="C30" s="30" t="str" cm="1">
        <f t="array" ref="C30">INDEX(T_Info[],MATCH(T_Fe[[#This Row],[Codigo]],T_Info[Codigo],0),COLUMN(T_Info[T.S]))</f>
        <v>B</v>
      </c>
      <c r="D30" s="30" cm="1">
        <f t="array" ref="D30">INDEX(T_Info[],MATCH(T_Fe[[#This Row],[Codigo]],T_Info[Codigo],0),COLUMN(T_Info[Z.S]))</f>
        <v>2</v>
      </c>
      <c r="E30" s="30" cm="1">
        <f t="array" ref="E30">INDEX(T_Info[],MATCH(T_Fe[[#This Row],[Codigo]],T_Info[Codigo],0),COLUMN(T_Info[Pisos]))</f>
        <v>11</v>
      </c>
      <c r="F30" s="30" cm="1">
        <f t="array" ref="F30">INDEX(T_Info[],MATCH(T_Fe[[#This Row],[Codigo]],T_Info[Codigo],0),COLUMN(T_Info[Subt.]))</f>
        <v>3</v>
      </c>
      <c r="G30" s="32" cm="1">
        <f t="array" ref="G30">INDEX(T_Info[],MATCH(T_Fe[[#This Row],[Codigo]],T_Info[Codigo],0),COLUMN(T_Info[Superficie m2]))</f>
        <v>14208</v>
      </c>
      <c r="H30" s="30" t="str" cm="1">
        <f t="array" ref="H30">IF(INDEX(T_Info[],MATCH(T_Fe[[#This Row],[Codigo]],T_Info[Codigo],0),COLUMN(T_Info[Postensado]))&lt;&gt;"",INDEX(T_Info[],MATCH(T_Fe[[#This Row],[Codigo]],T_Info[Codigo],0),COLUMN(T_Info[Postensado])),"")</f>
        <v/>
      </c>
      <c r="I30" s="30" t="str" cm="1">
        <f t="array" ref="I30">IF(INDEX(T_Info[],MATCH(T_Fe[[#This Row],[Codigo]],T_Info[Codigo],0),COLUMN(T_Info[Losa Fundación]))&lt;&gt;"",INDEX(T_Info[],MATCH(T_Fe[[#This Row],[Codigo]],T_Info[Codigo],0),COLUMN(T_Info[Losa Fundación])),"")</f>
        <v/>
      </c>
      <c r="J30" s="33">
        <v>7246.08</v>
      </c>
      <c r="K30" s="33">
        <v>0</v>
      </c>
      <c r="L30" s="33">
        <v>158277.12</v>
      </c>
      <c r="M30" s="33">
        <v>0</v>
      </c>
      <c r="N30" s="33">
        <v>44044.800000000003</v>
      </c>
      <c r="O30" s="33">
        <v>0</v>
      </c>
      <c r="P30" s="33">
        <v>0</v>
      </c>
      <c r="Q30" s="33">
        <v>178471.40013356745</v>
      </c>
      <c r="R30" s="33"/>
      <c r="S30" s="33"/>
      <c r="T30" s="33"/>
      <c r="U30" s="33">
        <f>SUM(T_Fe[[#This Row],[Fund kg]:[Cierros kg]])</f>
        <v>388039.40013356745</v>
      </c>
      <c r="V30" s="22">
        <f>IFERROR(T_Fe[[#This Row],[Fund kg]]/T_Fe[[#This Row],[Superficie m2]],)</f>
        <v>0.51</v>
      </c>
      <c r="W30" s="22">
        <f>IFERROR(T_Fe[[#This Row],[Muros kg]]/T_Fe[[#This Row],[Superficie m2]],)</f>
        <v>11.139999999999999</v>
      </c>
      <c r="X30" s="22">
        <f>IFERROR(T_Fe[[#This Row],[Perimetrales kg]]/T_Fe[[#This Row],[Superficie m2]],)</f>
        <v>0</v>
      </c>
      <c r="Y30" s="22">
        <f>IFERROR(T_Fe[[#This Row],[Vigas kg]]/T_Fe[[#This Row],[Superficie m2]],)</f>
        <v>3.1</v>
      </c>
      <c r="Z30" s="22">
        <f>IFERROR(T_Fe[[#This Row],[Losas kg]]/T_Fe[[#This Row],[Superficie m2]],)</f>
        <v>12.561331653545007</v>
      </c>
      <c r="AA30" s="22">
        <f>IFERROR(T_Fe[[#This Row],[Total kg]]/T_Fe[[#This Row],[Superficie m2]],)</f>
        <v>27.311331653545007</v>
      </c>
    </row>
    <row r="31" spans="1:27" x14ac:dyDescent="0.25">
      <c r="A31" s="30">
        <v>16089</v>
      </c>
      <c r="B31" s="31" t="str" cm="1">
        <f t="array" ref="B31">INDEX(T_Info[],MATCH(T_Fe[[#This Row],[Codigo]],T_Info[Codigo],0),COLUMN(T_Info[Proyecto]))</f>
        <v>Nibelungos</v>
      </c>
      <c r="C31" s="30" t="str" cm="1">
        <f t="array" ref="C31">INDEX(T_Info[],MATCH(T_Fe[[#This Row],[Codigo]],T_Info[Codigo],0),COLUMN(T_Info[T.S]))</f>
        <v>B</v>
      </c>
      <c r="D31" s="30" cm="1">
        <f t="array" ref="D31">INDEX(T_Info[],MATCH(T_Fe[[#This Row],[Codigo]],T_Info[Codigo],0),COLUMN(T_Info[Z.S]))</f>
        <v>2</v>
      </c>
      <c r="E31" s="30" cm="1">
        <f t="array" ref="E31">INDEX(T_Info[],MATCH(T_Fe[[#This Row],[Codigo]],T_Info[Codigo],0),COLUMN(T_Info[Pisos]))</f>
        <v>8</v>
      </c>
      <c r="F31" s="30" cm="1">
        <f t="array" ref="F31">INDEX(T_Info[],MATCH(T_Fe[[#This Row],[Codigo]],T_Info[Codigo],0),COLUMN(T_Info[Subt.]))</f>
        <v>2</v>
      </c>
      <c r="G31" s="32" cm="1">
        <f t="array" ref="G31">INDEX(T_Info[],MATCH(T_Fe[[#This Row],[Codigo]],T_Info[Codigo],0),COLUMN(T_Info[Superficie m2]))</f>
        <v>16183.37</v>
      </c>
      <c r="H31" s="30" t="str" cm="1">
        <f t="array" ref="H31">IF(INDEX(T_Info[],MATCH(T_Fe[[#This Row],[Codigo]],T_Info[Codigo],0),COLUMN(T_Info[Postensado]))&lt;&gt;"",INDEX(T_Info[],MATCH(T_Fe[[#This Row],[Codigo]],T_Info[Codigo],0),COLUMN(T_Info[Postensado])),"")</f>
        <v/>
      </c>
      <c r="I31" s="30" t="str" cm="1">
        <f t="array" ref="I31">IF(INDEX(T_Info[],MATCH(T_Fe[[#This Row],[Codigo]],T_Info[Codigo],0),COLUMN(T_Info[Losa Fundación]))&lt;&gt;"",INDEX(T_Info[],MATCH(T_Fe[[#This Row],[Codigo]],T_Info[Codigo],0),COLUMN(T_Info[Losa Fundación])),"")</f>
        <v/>
      </c>
      <c r="J31" s="33">
        <v>7929.8513000000003</v>
      </c>
      <c r="K31" s="33">
        <v>0</v>
      </c>
      <c r="L31" s="33">
        <v>180444.57550000001</v>
      </c>
      <c r="M31" s="33">
        <v>0</v>
      </c>
      <c r="N31" s="33">
        <v>61658.639700000007</v>
      </c>
      <c r="O31" s="33">
        <v>0</v>
      </c>
      <c r="P31" s="33">
        <v>0</v>
      </c>
      <c r="Q31" s="33">
        <v>198571.40400000004</v>
      </c>
      <c r="R31" s="33"/>
      <c r="S31" s="33"/>
      <c r="T31" s="33"/>
      <c r="U31" s="33">
        <f>SUM(T_Fe[[#This Row],[Fund kg]:[Cierros kg]])</f>
        <v>448604.47050000005</v>
      </c>
      <c r="V31" s="22">
        <f>IFERROR(T_Fe[[#This Row],[Fund kg]]/T_Fe[[#This Row],[Superficie m2]],)</f>
        <v>0.49</v>
      </c>
      <c r="W31" s="22">
        <f>IFERROR(T_Fe[[#This Row],[Muros kg]]/T_Fe[[#This Row],[Superficie m2]],)</f>
        <v>11.15</v>
      </c>
      <c r="X31" s="22">
        <f>IFERROR(T_Fe[[#This Row],[Perimetrales kg]]/T_Fe[[#This Row],[Superficie m2]],)</f>
        <v>0</v>
      </c>
      <c r="Y31" s="22">
        <f>IFERROR(T_Fe[[#This Row],[Vigas kg]]/T_Fe[[#This Row],[Superficie m2]],)</f>
        <v>3.81</v>
      </c>
      <c r="Z31" s="22">
        <f>IFERROR(T_Fe[[#This Row],[Losas kg]]/T_Fe[[#This Row],[Superficie m2]],)</f>
        <v>12.270089851495705</v>
      </c>
      <c r="AA31" s="22">
        <f>IFERROR(T_Fe[[#This Row],[Total kg]]/T_Fe[[#This Row],[Superficie m2]],)</f>
        <v>27.720089851495704</v>
      </c>
    </row>
    <row r="32" spans="1:27" x14ac:dyDescent="0.25">
      <c r="A32" s="30">
        <v>17031</v>
      </c>
      <c r="B32" s="31" t="str" cm="1">
        <f t="array" ref="B32">INDEX(T_Info[],MATCH(T_Fe[[#This Row],[Codigo]],T_Info[Codigo],0),COLUMN(T_Info[Proyecto]))</f>
        <v>Hannover</v>
      </c>
      <c r="C32" s="30" t="str" cm="1">
        <f t="array" ref="C32">INDEX(T_Info[],MATCH(T_Fe[[#This Row],[Codigo]],T_Info[Codigo],0),COLUMN(T_Info[T.S]))</f>
        <v>D</v>
      </c>
      <c r="D32" s="30" cm="1">
        <f t="array" ref="D32">INDEX(T_Info[],MATCH(T_Fe[[#This Row],[Codigo]],T_Info[Codigo],0),COLUMN(T_Info[Z.S]))</f>
        <v>2</v>
      </c>
      <c r="E32" s="30" cm="1">
        <f t="array" ref="E32">INDEX(T_Info[],MATCH(T_Fe[[#This Row],[Codigo]],T_Info[Codigo],0),COLUMN(T_Info[Pisos]))</f>
        <v>7</v>
      </c>
      <c r="F32" s="30" cm="1">
        <f t="array" ref="F32">INDEX(T_Info[],MATCH(T_Fe[[#This Row],[Codigo]],T_Info[Codigo],0),COLUMN(T_Info[Subt.]))</f>
        <v>2</v>
      </c>
      <c r="G32" s="32" cm="1">
        <f t="array" ref="G32">INDEX(T_Info[],MATCH(T_Fe[[#This Row],[Codigo]],T_Info[Codigo],0),COLUMN(T_Info[Superficie m2]))</f>
        <v>18825.400000000001</v>
      </c>
      <c r="H32" s="30" t="str" cm="1">
        <f t="array" ref="H32">IF(INDEX(T_Info[],MATCH(T_Fe[[#This Row],[Codigo]],T_Info[Codigo],0),COLUMN(T_Info[Postensado]))&lt;&gt;"",INDEX(T_Info[],MATCH(T_Fe[[#This Row],[Codigo]],T_Info[Codigo],0),COLUMN(T_Info[Postensado])),"")</f>
        <v/>
      </c>
      <c r="I32" s="30" t="str" cm="1">
        <f t="array" ref="I32">IF(INDEX(T_Info[],MATCH(T_Fe[[#This Row],[Codigo]],T_Info[Codigo],0),COLUMN(T_Info[Losa Fundación]))&lt;&gt;"",INDEX(T_Info[],MATCH(T_Fe[[#This Row],[Codigo]],T_Info[Codigo],0),COLUMN(T_Info[Losa Fundación])),"")</f>
        <v/>
      </c>
      <c r="J32" s="33">
        <v>21837.464</v>
      </c>
      <c r="K32" s="33">
        <v>0</v>
      </c>
      <c r="L32" s="33">
        <v>334339.10400000005</v>
      </c>
      <c r="M32" s="33">
        <v>0</v>
      </c>
      <c r="N32" s="33">
        <v>64194.614000000009</v>
      </c>
      <c r="O32" s="33">
        <v>0</v>
      </c>
      <c r="P32" s="33">
        <v>0</v>
      </c>
      <c r="Q32" s="33">
        <v>232133.21892004536</v>
      </c>
      <c r="R32" s="33"/>
      <c r="S32" s="33"/>
      <c r="T32" s="33"/>
      <c r="U32" s="33">
        <f>SUM(T_Fe[[#This Row],[Fund kg]:[Cierros kg]])</f>
        <v>652504.40092004533</v>
      </c>
      <c r="V32" s="22">
        <f>IFERROR(T_Fe[[#This Row],[Fund kg]]/T_Fe[[#This Row],[Superficie m2]],)</f>
        <v>1.1599999999999999</v>
      </c>
      <c r="W32" s="22">
        <f>IFERROR(T_Fe[[#This Row],[Muros kg]]/T_Fe[[#This Row],[Superficie m2]],)</f>
        <v>17.760000000000002</v>
      </c>
      <c r="X32" s="22">
        <f>IFERROR(T_Fe[[#This Row],[Perimetrales kg]]/T_Fe[[#This Row],[Superficie m2]],)</f>
        <v>0</v>
      </c>
      <c r="Y32" s="22">
        <f>IFERROR(T_Fe[[#This Row],[Vigas kg]]/T_Fe[[#This Row],[Superficie m2]],)</f>
        <v>3.41</v>
      </c>
      <c r="Z32" s="22">
        <f>IFERROR(T_Fe[[#This Row],[Losas kg]]/T_Fe[[#This Row],[Superficie m2]],)</f>
        <v>12.330851876722159</v>
      </c>
      <c r="AA32" s="22">
        <f>IFERROR(T_Fe[[#This Row],[Total kg]]/T_Fe[[#This Row],[Superficie m2]],)</f>
        <v>34.660851876722155</v>
      </c>
    </row>
    <row r="33" spans="1:27" x14ac:dyDescent="0.25">
      <c r="A33" s="30">
        <v>17050</v>
      </c>
      <c r="B33" s="31" t="str" cm="1">
        <f t="array" ref="B33">INDEX(T_Info[],MATCH(T_Fe[[#This Row],[Codigo]],T_Info[Codigo],0),COLUMN(T_Info[Proyecto]))</f>
        <v>Irarrázaval</v>
      </c>
      <c r="C33" s="30" t="str" cm="1">
        <f t="array" ref="C33">INDEX(T_Info[],MATCH(T_Fe[[#This Row],[Codigo]],T_Info[Codigo],0),COLUMN(T_Info[T.S]))</f>
        <v>B</v>
      </c>
      <c r="D33" s="30" cm="1">
        <f t="array" ref="D33">INDEX(T_Info[],MATCH(T_Fe[[#This Row],[Codigo]],T_Info[Codigo],0),COLUMN(T_Info[Z.S]))</f>
        <v>2</v>
      </c>
      <c r="E33" s="30" cm="1">
        <f t="array" ref="E33">INDEX(T_Info[],MATCH(T_Fe[[#This Row],[Codigo]],T_Info[Codigo],0),COLUMN(T_Info[Pisos]))</f>
        <v>24</v>
      </c>
      <c r="F33" s="30" cm="1">
        <f t="array" ref="F33">INDEX(T_Info[],MATCH(T_Fe[[#This Row],[Codigo]],T_Info[Codigo],0),COLUMN(T_Info[Subt.]))</f>
        <v>4</v>
      </c>
      <c r="G33" s="32" cm="1">
        <f t="array" ref="G33">INDEX(T_Info[],MATCH(T_Fe[[#This Row],[Codigo]],T_Info[Codigo],0),COLUMN(T_Info[Superficie m2]))</f>
        <v>23523</v>
      </c>
      <c r="H33" s="30" t="str" cm="1">
        <f t="array" ref="H33">IF(INDEX(T_Info[],MATCH(T_Fe[[#This Row],[Codigo]],T_Info[Codigo],0),COLUMN(T_Info[Postensado]))&lt;&gt;"",INDEX(T_Info[],MATCH(T_Fe[[#This Row],[Codigo]],T_Info[Codigo],0),COLUMN(T_Info[Postensado])),"")</f>
        <v/>
      </c>
      <c r="I33" s="30" t="str" cm="1">
        <f t="array" ref="I33">IF(INDEX(T_Info[],MATCH(T_Fe[[#This Row],[Codigo]],T_Info[Codigo],0),COLUMN(T_Info[Losa Fundación]))&lt;&gt;"",INDEX(T_Info[],MATCH(T_Fe[[#This Row],[Codigo]],T_Info[Codigo],0),COLUMN(T_Info[Losa Fundación])),"")</f>
        <v/>
      </c>
      <c r="J33" s="33">
        <v>7527.3600000000006</v>
      </c>
      <c r="K33" s="33">
        <v>0</v>
      </c>
      <c r="L33" s="33">
        <v>322735.56</v>
      </c>
      <c r="M33" s="33">
        <v>0</v>
      </c>
      <c r="N33" s="33">
        <v>72921.3</v>
      </c>
      <c r="O33" s="33">
        <v>0</v>
      </c>
      <c r="P33" s="33">
        <v>0</v>
      </c>
      <c r="Q33" s="33">
        <v>286297.27551834896</v>
      </c>
      <c r="R33" s="33"/>
      <c r="S33" s="33"/>
      <c r="T33" s="33"/>
      <c r="U33" s="33">
        <f>SUM(T_Fe[[#This Row],[Fund kg]:[Cierros kg]])</f>
        <v>689481.49551834888</v>
      </c>
      <c r="V33" s="22">
        <f>IFERROR(T_Fe[[#This Row],[Fund kg]]/T_Fe[[#This Row],[Superficie m2]],)</f>
        <v>0.32</v>
      </c>
      <c r="W33" s="22">
        <f>IFERROR(T_Fe[[#This Row],[Muros kg]]/T_Fe[[#This Row],[Superficie m2]],)</f>
        <v>13.72</v>
      </c>
      <c r="X33" s="22">
        <f>IFERROR(T_Fe[[#This Row],[Perimetrales kg]]/T_Fe[[#This Row],[Superficie m2]],)</f>
        <v>0</v>
      </c>
      <c r="Y33" s="22">
        <f>IFERROR(T_Fe[[#This Row],[Vigas kg]]/T_Fe[[#This Row],[Superficie m2]],)</f>
        <v>3.1</v>
      </c>
      <c r="Z33" s="22">
        <f>IFERROR(T_Fe[[#This Row],[Losas kg]]/T_Fe[[#This Row],[Superficie m2]],)</f>
        <v>12.170950793621092</v>
      </c>
      <c r="AA33" s="22">
        <f>IFERROR(T_Fe[[#This Row],[Total kg]]/T_Fe[[#This Row],[Superficie m2]],)</f>
        <v>29.310950793621089</v>
      </c>
    </row>
    <row r="34" spans="1:27" x14ac:dyDescent="0.25">
      <c r="A34" s="30">
        <v>17080</v>
      </c>
      <c r="B34" s="31" t="str" cm="1">
        <f t="array" ref="B34">INDEX(T_Info[],MATCH(T_Fe[[#This Row],[Codigo]],T_Info[Codigo],0),COLUMN(T_Info[Proyecto]))</f>
        <v>Rosas</v>
      </c>
      <c r="C34" s="30" t="str" cm="1">
        <f t="array" ref="C34">INDEX(T_Info[],MATCH(T_Fe[[#This Row],[Codigo]],T_Info[Codigo],0),COLUMN(T_Info[T.S]))</f>
        <v>B</v>
      </c>
      <c r="D34" s="30" cm="1">
        <f t="array" ref="D34">INDEX(T_Info[],MATCH(T_Fe[[#This Row],[Codigo]],T_Info[Codigo],0),COLUMN(T_Info[Z.S]))</f>
        <v>2</v>
      </c>
      <c r="E34" s="30" cm="1">
        <f t="array" ref="E34">INDEX(T_Info[],MATCH(T_Fe[[#This Row],[Codigo]],T_Info[Codigo],0),COLUMN(T_Info[Pisos]))</f>
        <v>10</v>
      </c>
      <c r="F34" s="30" cm="1">
        <f t="array" ref="F34">INDEX(T_Info[],MATCH(T_Fe[[#This Row],[Codigo]],T_Info[Codigo],0),COLUMN(T_Info[Subt.]))</f>
        <v>2</v>
      </c>
      <c r="G34" s="32" cm="1">
        <f t="array" ref="G34">INDEX(T_Info[],MATCH(T_Fe[[#This Row],[Codigo]],T_Info[Codigo],0),COLUMN(T_Info[Superficie m2]))</f>
        <v>20806.43</v>
      </c>
      <c r="H34" s="30" t="str" cm="1">
        <f t="array" ref="H34">IF(INDEX(T_Info[],MATCH(T_Fe[[#This Row],[Codigo]],T_Info[Codigo],0),COLUMN(T_Info[Postensado]))&lt;&gt;"",INDEX(T_Info[],MATCH(T_Fe[[#This Row],[Codigo]],T_Info[Codigo],0),COLUMN(T_Info[Postensado])),"")</f>
        <v/>
      </c>
      <c r="I34" s="30" t="str" cm="1">
        <f t="array" ref="I34">IF(INDEX(T_Info[],MATCH(T_Fe[[#This Row],[Codigo]],T_Info[Codigo],0),COLUMN(T_Info[Losa Fundación]))&lt;&gt;"",INDEX(T_Info[],MATCH(T_Fe[[#This Row],[Codigo]],T_Info[Codigo],0),COLUMN(T_Info[Losa Fundación])),"")</f>
        <v/>
      </c>
      <c r="J34" s="33">
        <v>3537.0931000000005</v>
      </c>
      <c r="K34" s="33">
        <v>0</v>
      </c>
      <c r="L34" s="33">
        <v>248636.83849999998</v>
      </c>
      <c r="M34" s="33">
        <v>28504.809100000002</v>
      </c>
      <c r="N34" s="33">
        <v>40780.602800000001</v>
      </c>
      <c r="O34" s="33">
        <v>0</v>
      </c>
      <c r="P34" s="33">
        <v>0</v>
      </c>
      <c r="Q34" s="33">
        <v>240708.94825515425</v>
      </c>
      <c r="R34" s="33"/>
      <c r="S34" s="33"/>
      <c r="T34" s="33"/>
      <c r="U34" s="33">
        <f>SUM(T_Fe[[#This Row],[Fund kg]:[Cierros kg]])</f>
        <v>562168.29175515426</v>
      </c>
      <c r="V34" s="22">
        <f>IFERROR(T_Fe[[#This Row],[Fund kg]]/T_Fe[[#This Row],[Superficie m2]],)</f>
        <v>0.17</v>
      </c>
      <c r="W34" s="22">
        <f>IFERROR(T_Fe[[#This Row],[Muros kg]]/T_Fe[[#This Row],[Superficie m2]],)</f>
        <v>11.95</v>
      </c>
      <c r="X34" s="22">
        <f>IFERROR(T_Fe[[#This Row],[Perimetrales kg]]/T_Fe[[#This Row],[Superficie m2]],)</f>
        <v>1.37</v>
      </c>
      <c r="Y34" s="22">
        <f>IFERROR(T_Fe[[#This Row],[Vigas kg]]/T_Fe[[#This Row],[Superficie m2]],)</f>
        <v>1.96</v>
      </c>
      <c r="Z34" s="22">
        <f>IFERROR(T_Fe[[#This Row],[Losas kg]]/T_Fe[[#This Row],[Superficie m2]],)</f>
        <v>11.568969220339781</v>
      </c>
      <c r="AA34" s="22">
        <f>IFERROR(T_Fe[[#This Row],[Total kg]]/T_Fe[[#This Row],[Superficie m2]],)</f>
        <v>27.018969220339784</v>
      </c>
    </row>
    <row r="35" spans="1:27" x14ac:dyDescent="0.25">
      <c r="A35" s="30">
        <v>17098</v>
      </c>
      <c r="B35" s="31" t="str" cm="1">
        <f t="array" ref="B35">INDEX(T_Info[],MATCH(T_Fe[[#This Row],[Codigo]],T_Info[Codigo],0),COLUMN(T_Info[Proyecto]))</f>
        <v>Mujica T3</v>
      </c>
      <c r="C35" s="30" t="str" cm="1">
        <f t="array" ref="C35">INDEX(T_Info[],MATCH(T_Fe[[#This Row],[Codigo]],T_Info[Codigo],0),COLUMN(T_Info[T.S]))</f>
        <v>B</v>
      </c>
      <c r="D35" s="30" cm="1">
        <f t="array" ref="D35">INDEX(T_Info[],MATCH(T_Fe[[#This Row],[Codigo]],T_Info[Codigo],0),COLUMN(T_Info[Z.S]))</f>
        <v>2</v>
      </c>
      <c r="E35" s="30" cm="1">
        <f t="array" ref="E35">INDEX(T_Info[],MATCH(T_Fe[[#This Row],[Codigo]],T_Info[Codigo],0),COLUMN(T_Info[Pisos]))</f>
        <v>12</v>
      </c>
      <c r="F35" s="30" cm="1">
        <f t="array" ref="F35">INDEX(T_Info[],MATCH(T_Fe[[#This Row],[Codigo]],T_Info[Codigo],0),COLUMN(T_Info[Subt.]))</f>
        <v>2</v>
      </c>
      <c r="G35" s="32" cm="1">
        <f t="array" ref="G35">INDEX(T_Info[],MATCH(T_Fe[[#This Row],[Codigo]],T_Info[Codigo],0),COLUMN(T_Info[Superficie m2]))</f>
        <v>8300.99</v>
      </c>
      <c r="H35" s="30" t="str" cm="1">
        <f t="array" ref="H35">IF(INDEX(T_Info[],MATCH(T_Fe[[#This Row],[Codigo]],T_Info[Codigo],0),COLUMN(T_Info[Postensado]))&lt;&gt;"",INDEX(T_Info[],MATCH(T_Fe[[#This Row],[Codigo]],T_Info[Codigo],0),COLUMN(T_Info[Postensado])),"")</f>
        <v/>
      </c>
      <c r="I35" s="30" t="str" cm="1">
        <f t="array" ref="I35">IF(INDEX(T_Info[],MATCH(T_Fe[[#This Row],[Codigo]],T_Info[Codigo],0),COLUMN(T_Info[Losa Fundación]))&lt;&gt;"",INDEX(T_Info[],MATCH(T_Fe[[#This Row],[Codigo]],T_Info[Codigo],0),COLUMN(T_Info[Losa Fundación])),"")</f>
        <v/>
      </c>
      <c r="J35" s="33">
        <v>2158.2574</v>
      </c>
      <c r="K35" s="33">
        <v>0</v>
      </c>
      <c r="L35" s="33">
        <v>102766.2562</v>
      </c>
      <c r="M35" s="33">
        <v>0</v>
      </c>
      <c r="N35" s="33">
        <v>30049.5838</v>
      </c>
      <c r="O35" s="33">
        <v>0</v>
      </c>
      <c r="P35" s="33">
        <v>0</v>
      </c>
      <c r="Q35" s="33">
        <v>96229.459999999977</v>
      </c>
      <c r="R35" s="33"/>
      <c r="S35" s="33"/>
      <c r="T35" s="33"/>
      <c r="U35" s="33">
        <f>SUM(T_Fe[[#This Row],[Fund kg]:[Cierros kg]])</f>
        <v>231203.55739999999</v>
      </c>
      <c r="V35" s="22">
        <f>IFERROR(T_Fe[[#This Row],[Fund kg]]/T_Fe[[#This Row],[Superficie m2]],)</f>
        <v>0.26</v>
      </c>
      <c r="W35" s="22">
        <f>IFERROR(T_Fe[[#This Row],[Muros kg]]/T_Fe[[#This Row],[Superficie m2]],)</f>
        <v>12.38</v>
      </c>
      <c r="X35" s="22">
        <f>IFERROR(T_Fe[[#This Row],[Perimetrales kg]]/T_Fe[[#This Row],[Superficie m2]],)</f>
        <v>0</v>
      </c>
      <c r="Y35" s="22">
        <f>IFERROR(T_Fe[[#This Row],[Vigas kg]]/T_Fe[[#This Row],[Superficie m2]],)</f>
        <v>3.62</v>
      </c>
      <c r="Z35" s="22">
        <f>IFERROR(T_Fe[[#This Row],[Losas kg]]/T_Fe[[#This Row],[Superficie m2]],)</f>
        <v>11.592528120139885</v>
      </c>
      <c r="AA35" s="22">
        <f>IFERROR(T_Fe[[#This Row],[Total kg]]/T_Fe[[#This Row],[Superficie m2]],)</f>
        <v>27.852528120139887</v>
      </c>
    </row>
    <row r="36" spans="1:27" x14ac:dyDescent="0.25">
      <c r="A36" s="30">
        <v>17100</v>
      </c>
      <c r="B36" s="31" t="str" cm="1">
        <f t="array" ref="B36">INDEX(T_Info[],MATCH(T_Fe[[#This Row],[Codigo]],T_Info[Codigo],0),COLUMN(T_Info[Proyecto]))</f>
        <v>Colón</v>
      </c>
      <c r="C36" s="30" t="str" cm="1">
        <f t="array" ref="C36">INDEX(T_Info[],MATCH(T_Fe[[#This Row],[Codigo]],T_Info[Codigo],0),COLUMN(T_Info[T.S]))</f>
        <v>B</v>
      </c>
      <c r="D36" s="30" cm="1">
        <f t="array" ref="D36">INDEX(T_Info[],MATCH(T_Fe[[#This Row],[Codigo]],T_Info[Codigo],0),COLUMN(T_Info[Z.S]))</f>
        <v>2</v>
      </c>
      <c r="E36" s="30" cm="1">
        <f t="array" ref="E36">INDEX(T_Info[],MATCH(T_Fe[[#This Row],[Codigo]],T_Info[Codigo],0),COLUMN(T_Info[Pisos]))</f>
        <v>16</v>
      </c>
      <c r="F36" s="30" cm="1">
        <f t="array" ref="F36">INDEX(T_Info[],MATCH(T_Fe[[#This Row],[Codigo]],T_Info[Codigo],0),COLUMN(T_Info[Subt.]))</f>
        <v>2</v>
      </c>
      <c r="G36" s="32" cm="1">
        <f t="array" ref="G36">INDEX(T_Info[],MATCH(T_Fe[[#This Row],[Codigo]],T_Info[Codigo],0),COLUMN(T_Info[Superficie m2]))</f>
        <v>16551.04</v>
      </c>
      <c r="H36" s="30" t="str" cm="1">
        <f t="array" ref="H36">IF(INDEX(T_Info[],MATCH(T_Fe[[#This Row],[Codigo]],T_Info[Codigo],0),COLUMN(T_Info[Postensado]))&lt;&gt;"",INDEX(T_Info[],MATCH(T_Fe[[#This Row],[Codigo]],T_Info[Codigo],0),COLUMN(T_Info[Postensado])),"")</f>
        <v/>
      </c>
      <c r="I36" s="30" t="str" cm="1">
        <f t="array" ref="I36">IF(INDEX(T_Info[],MATCH(T_Fe[[#This Row],[Codigo]],T_Info[Codigo],0),COLUMN(T_Info[Losa Fundación]))&lt;&gt;"",INDEX(T_Info[],MATCH(T_Fe[[#This Row],[Codigo]],T_Info[Codigo],0),COLUMN(T_Info[Losa Fundación])),"")</f>
        <v/>
      </c>
      <c r="J36" s="33">
        <v>9930.6239999999998</v>
      </c>
      <c r="K36" s="33">
        <v>0</v>
      </c>
      <c r="L36" s="33">
        <v>182061.44</v>
      </c>
      <c r="M36" s="33">
        <v>37405.350399999996</v>
      </c>
      <c r="N36" s="33">
        <v>41708.620800000004</v>
      </c>
      <c r="O36" s="33">
        <v>0</v>
      </c>
      <c r="P36" s="33">
        <v>0</v>
      </c>
      <c r="Q36" s="33">
        <v>218893.75999999998</v>
      </c>
      <c r="R36" s="33"/>
      <c r="S36" s="33"/>
      <c r="T36" s="33"/>
      <c r="U36" s="33">
        <f>SUM(T_Fe[[#This Row],[Fund kg]:[Cierros kg]])</f>
        <v>489999.79520000005</v>
      </c>
      <c r="V36" s="22">
        <f>IFERROR(T_Fe[[#This Row],[Fund kg]]/T_Fe[[#This Row],[Superficie m2]],)</f>
        <v>0.6</v>
      </c>
      <c r="W36" s="22">
        <f>IFERROR(T_Fe[[#This Row],[Muros kg]]/T_Fe[[#This Row],[Superficie m2]],)</f>
        <v>11</v>
      </c>
      <c r="X36" s="22">
        <f>IFERROR(T_Fe[[#This Row],[Perimetrales kg]]/T_Fe[[#This Row],[Superficie m2]],)</f>
        <v>2.2599999999999998</v>
      </c>
      <c r="Y36" s="22">
        <f>IFERROR(T_Fe[[#This Row],[Vigas kg]]/T_Fe[[#This Row],[Superficie m2]],)</f>
        <v>2.52</v>
      </c>
      <c r="Z36" s="22">
        <f>IFERROR(T_Fe[[#This Row],[Losas kg]]/T_Fe[[#This Row],[Superficie m2]],)</f>
        <v>13.225377982289933</v>
      </c>
      <c r="AA36" s="22">
        <f>IFERROR(T_Fe[[#This Row],[Total kg]]/T_Fe[[#This Row],[Superficie m2]],)</f>
        <v>29.605377982289937</v>
      </c>
    </row>
    <row r="37" spans="1:27" x14ac:dyDescent="0.25">
      <c r="A37" s="30">
        <v>17106</v>
      </c>
      <c r="B37" s="31" t="str" cm="1">
        <f t="array" ref="B37">INDEX(T_Info[],MATCH(T_Fe[[#This Row],[Codigo]],T_Info[Codigo],0),COLUMN(T_Info[Proyecto]))</f>
        <v>Diag. Oriente</v>
      </c>
      <c r="C37" s="30" t="str" cm="1">
        <f t="array" ref="C37">INDEX(T_Info[],MATCH(T_Fe[[#This Row],[Codigo]],T_Info[Codigo],0),COLUMN(T_Info[T.S]))</f>
        <v>B</v>
      </c>
      <c r="D37" s="30" cm="1">
        <f t="array" ref="D37">INDEX(T_Info[],MATCH(T_Fe[[#This Row],[Codigo]],T_Info[Codigo],0),COLUMN(T_Info[Z.S]))</f>
        <v>2</v>
      </c>
      <c r="E37" s="30" cm="1">
        <f t="array" ref="E37">INDEX(T_Info[],MATCH(T_Fe[[#This Row],[Codigo]],T_Info[Codigo],0),COLUMN(T_Info[Pisos]))</f>
        <v>13</v>
      </c>
      <c r="F37" s="30" cm="1">
        <f t="array" ref="F37">INDEX(T_Info[],MATCH(T_Fe[[#This Row],[Codigo]],T_Info[Codigo],0),COLUMN(T_Info[Subt.]))</f>
        <v>2</v>
      </c>
      <c r="G37" s="32" cm="1">
        <f t="array" ref="G37">INDEX(T_Info[],MATCH(T_Fe[[#This Row],[Codigo]],T_Info[Codigo],0),COLUMN(T_Info[Superficie m2]))</f>
        <v>21028.959999999999</v>
      </c>
      <c r="H37" s="30" t="str" cm="1">
        <f t="array" ref="H37">IF(INDEX(T_Info[],MATCH(T_Fe[[#This Row],[Codigo]],T_Info[Codigo],0),COLUMN(T_Info[Postensado]))&lt;&gt;"",INDEX(T_Info[],MATCH(T_Fe[[#This Row],[Codigo]],T_Info[Codigo],0),COLUMN(T_Info[Postensado])),"")</f>
        <v/>
      </c>
      <c r="I37" s="30" t="str" cm="1">
        <f t="array" ref="I37">IF(INDEX(T_Info[],MATCH(T_Fe[[#This Row],[Codigo]],T_Info[Codigo],0),COLUMN(T_Info[Losa Fundación]))&lt;&gt;"",INDEX(T_Info[],MATCH(T_Fe[[#This Row],[Codigo]],T_Info[Codigo],0),COLUMN(T_Info[Losa Fundación])),"")</f>
        <v/>
      </c>
      <c r="J37" s="33">
        <v>7570.4255999999996</v>
      </c>
      <c r="K37" s="33">
        <v>0</v>
      </c>
      <c r="L37" s="33">
        <v>283680.6704</v>
      </c>
      <c r="M37" s="33">
        <v>0</v>
      </c>
      <c r="N37" s="33">
        <v>52151.820799999994</v>
      </c>
      <c r="O37" s="33">
        <v>0</v>
      </c>
      <c r="P37" s="33">
        <v>0</v>
      </c>
      <c r="Q37" s="33">
        <v>270907.41514999996</v>
      </c>
      <c r="R37" s="33"/>
      <c r="S37" s="33"/>
      <c r="T37" s="33"/>
      <c r="U37" s="33">
        <f>SUM(T_Fe[[#This Row],[Fund kg]:[Cierros kg]])</f>
        <v>614310.33195000002</v>
      </c>
      <c r="V37" s="22">
        <f>IFERROR(T_Fe[[#This Row],[Fund kg]]/T_Fe[[#This Row],[Superficie m2]],)</f>
        <v>0.36</v>
      </c>
      <c r="W37" s="22">
        <f>IFERROR(T_Fe[[#This Row],[Muros kg]]/T_Fe[[#This Row],[Superficie m2]],)</f>
        <v>13.49</v>
      </c>
      <c r="X37" s="22">
        <f>IFERROR(T_Fe[[#This Row],[Perimetrales kg]]/T_Fe[[#This Row],[Superficie m2]],)</f>
        <v>0</v>
      </c>
      <c r="Y37" s="22">
        <f>IFERROR(T_Fe[[#This Row],[Vigas kg]]/T_Fe[[#This Row],[Superficie m2]],)</f>
        <v>2.48</v>
      </c>
      <c r="Z37" s="22">
        <f>IFERROR(T_Fe[[#This Row],[Losas kg]]/T_Fe[[#This Row],[Superficie m2]],)</f>
        <v>12.882587400898569</v>
      </c>
      <c r="AA37" s="22">
        <f>IFERROR(T_Fe[[#This Row],[Total kg]]/T_Fe[[#This Row],[Superficie m2]],)</f>
        <v>29.212587400898574</v>
      </c>
    </row>
    <row r="38" spans="1:27" x14ac:dyDescent="0.25">
      <c r="A38" s="30">
        <v>18001</v>
      </c>
      <c r="B38" s="31" t="str" cm="1">
        <f t="array" ref="B38">INDEX(T_Info[],MATCH(T_Fe[[#This Row],[Codigo]],T_Info[Codigo],0),COLUMN(T_Info[Proyecto]))</f>
        <v>Robles</v>
      </c>
      <c r="C38" s="30" t="str" cm="1">
        <f t="array" ref="C38">INDEX(T_Info[],MATCH(T_Fe[[#This Row],[Codigo]],T_Info[Codigo],0),COLUMN(T_Info[T.S]))</f>
        <v>C</v>
      </c>
      <c r="D38" s="30" cm="1">
        <f t="array" ref="D38">INDEX(T_Info[],MATCH(T_Fe[[#This Row],[Codigo]],T_Info[Codigo],0),COLUMN(T_Info[Z.S]))</f>
        <v>2</v>
      </c>
      <c r="E38" s="30" cm="1">
        <f t="array" ref="E38">INDEX(T_Info[],MATCH(T_Fe[[#This Row],[Codigo]],T_Info[Codigo],0),COLUMN(T_Info[Pisos]))</f>
        <v>7</v>
      </c>
      <c r="F38" s="30" cm="1">
        <f t="array" ref="F38">INDEX(T_Info[],MATCH(T_Fe[[#This Row],[Codigo]],T_Info[Codigo],0),COLUMN(T_Info[Subt.]))</f>
        <v>2</v>
      </c>
      <c r="G38" s="32" cm="1">
        <f t="array" ref="G38">INDEX(T_Info[],MATCH(T_Fe[[#This Row],[Codigo]],T_Info[Codigo],0),COLUMN(T_Info[Superficie m2]))</f>
        <v>13883.06</v>
      </c>
      <c r="H38" s="30" t="str" cm="1">
        <f t="array" ref="H38">IF(INDEX(T_Info[],MATCH(T_Fe[[#This Row],[Codigo]],T_Info[Codigo],0),COLUMN(T_Info[Postensado]))&lt;&gt;"",INDEX(T_Info[],MATCH(T_Fe[[#This Row],[Codigo]],T_Info[Codigo],0),COLUMN(T_Info[Postensado])),"")</f>
        <v/>
      </c>
      <c r="I38" s="30" t="str" cm="1">
        <f t="array" ref="I38">IF(INDEX(T_Info[],MATCH(T_Fe[[#This Row],[Codigo]],T_Info[Codigo],0),COLUMN(T_Info[Losa Fundación]))&lt;&gt;"",INDEX(T_Info[],MATCH(T_Fe[[#This Row],[Codigo]],T_Info[Codigo],0),COLUMN(T_Info[Losa Fundación])),"")</f>
        <v/>
      </c>
      <c r="J38" s="33">
        <v>5414.3933999999999</v>
      </c>
      <c r="K38" s="33">
        <v>0</v>
      </c>
      <c r="L38" s="33">
        <v>142440.19559999998</v>
      </c>
      <c r="M38" s="33">
        <v>0</v>
      </c>
      <c r="N38" s="33">
        <v>36095.955999999998</v>
      </c>
      <c r="O38" s="33">
        <v>0</v>
      </c>
      <c r="P38" s="33">
        <v>0</v>
      </c>
      <c r="Q38" s="33">
        <v>215750.32214999996</v>
      </c>
      <c r="R38" s="33"/>
      <c r="S38" s="33"/>
      <c r="T38" s="33"/>
      <c r="U38" s="33">
        <f>SUM(T_Fe[[#This Row],[Fund kg]:[Cierros kg]])</f>
        <v>399700.86714999995</v>
      </c>
      <c r="V38" s="22">
        <f>IFERROR(T_Fe[[#This Row],[Fund kg]]/T_Fe[[#This Row],[Superficie m2]],)</f>
        <v>0.39</v>
      </c>
      <c r="W38" s="22">
        <f>IFERROR(T_Fe[[#This Row],[Muros kg]]/T_Fe[[#This Row],[Superficie m2]],)</f>
        <v>10.259999999999998</v>
      </c>
      <c r="X38" s="22">
        <f>IFERROR(T_Fe[[#This Row],[Perimetrales kg]]/T_Fe[[#This Row],[Superficie m2]],)</f>
        <v>0</v>
      </c>
      <c r="Y38" s="22">
        <f>IFERROR(T_Fe[[#This Row],[Vigas kg]]/T_Fe[[#This Row],[Superficie m2]],)</f>
        <v>2.6</v>
      </c>
      <c r="Z38" s="22">
        <f>IFERROR(T_Fe[[#This Row],[Losas kg]]/T_Fe[[#This Row],[Superficie m2]],)</f>
        <v>15.540545250830867</v>
      </c>
      <c r="AA38" s="22">
        <f>IFERROR(T_Fe[[#This Row],[Total kg]]/T_Fe[[#This Row],[Superficie m2]],)</f>
        <v>28.790545250830867</v>
      </c>
    </row>
    <row r="39" spans="1:27" x14ac:dyDescent="0.25">
      <c r="A39" s="30">
        <v>18002</v>
      </c>
      <c r="B39" s="31" t="str" cm="1">
        <f t="array" ref="B39">INDEX(T_Info[],MATCH(T_Fe[[#This Row],[Codigo]],T_Info[Codigo],0),COLUMN(T_Info[Proyecto]))</f>
        <v>Carrera Domeyko</v>
      </c>
      <c r="C39" s="30" t="str" cm="1">
        <f t="array" ref="C39">INDEX(T_Info[],MATCH(T_Fe[[#This Row],[Codigo]],T_Info[Codigo],0),COLUMN(T_Info[T.S]))</f>
        <v>B</v>
      </c>
      <c r="D39" s="30" cm="1">
        <f t="array" ref="D39">INDEX(T_Info[],MATCH(T_Fe[[#This Row],[Codigo]],T_Info[Codigo],0),COLUMN(T_Info[Z.S]))</f>
        <v>2</v>
      </c>
      <c r="E39" s="30" cm="1">
        <f t="array" ref="E39">INDEX(T_Info[],MATCH(T_Fe[[#This Row],[Codigo]],T_Info[Codigo],0),COLUMN(T_Info[Pisos]))</f>
        <v>10</v>
      </c>
      <c r="F39" s="30" cm="1">
        <f t="array" ref="F39">INDEX(T_Info[],MATCH(T_Fe[[#This Row],[Codigo]],T_Info[Codigo],0),COLUMN(T_Info[Subt.]))</f>
        <v>3</v>
      </c>
      <c r="G39" s="32" cm="1">
        <f t="array" ref="G39">INDEX(T_Info[],MATCH(T_Fe[[#This Row],[Codigo]],T_Info[Codigo],0),COLUMN(T_Info[Superficie m2]))</f>
        <v>12466.65</v>
      </c>
      <c r="H39" s="30" t="str" cm="1">
        <f t="array" ref="H39">IF(INDEX(T_Info[],MATCH(T_Fe[[#This Row],[Codigo]],T_Info[Codigo],0),COLUMN(T_Info[Postensado]))&lt;&gt;"",INDEX(T_Info[],MATCH(T_Fe[[#This Row],[Codigo]],T_Info[Codigo],0),COLUMN(T_Info[Postensado])),"")</f>
        <v/>
      </c>
      <c r="I39" s="30" t="str" cm="1">
        <f t="array" ref="I39">IF(INDEX(T_Info[],MATCH(T_Fe[[#This Row],[Codigo]],T_Info[Codigo],0),COLUMN(T_Info[Losa Fundación]))&lt;&gt;"",INDEX(T_Info[],MATCH(T_Fe[[#This Row],[Codigo]],T_Info[Codigo],0),COLUMN(T_Info[Losa Fundación])),"")</f>
        <v/>
      </c>
      <c r="J39" s="33">
        <v>4986.66</v>
      </c>
      <c r="K39" s="33">
        <v>0</v>
      </c>
      <c r="L39" s="33">
        <v>167551.77599999998</v>
      </c>
      <c r="M39" s="33">
        <v>0</v>
      </c>
      <c r="N39" s="33">
        <v>28673.294999999998</v>
      </c>
      <c r="O39" s="33">
        <v>0</v>
      </c>
      <c r="P39" s="33">
        <v>0</v>
      </c>
      <c r="Q39" s="33">
        <v>162470.48469999994</v>
      </c>
      <c r="R39" s="33"/>
      <c r="S39" s="33"/>
      <c r="T39" s="33"/>
      <c r="U39" s="33">
        <f>SUM(T_Fe[[#This Row],[Fund kg]:[Cierros kg]])</f>
        <v>363682.21569999994</v>
      </c>
      <c r="V39" s="22">
        <f>IFERROR(T_Fe[[#This Row],[Fund kg]]/T_Fe[[#This Row],[Superficie m2]],)</f>
        <v>0.4</v>
      </c>
      <c r="W39" s="22">
        <f>IFERROR(T_Fe[[#This Row],[Muros kg]]/T_Fe[[#This Row],[Superficie m2]],)</f>
        <v>13.44</v>
      </c>
      <c r="X39" s="22">
        <f>IFERROR(T_Fe[[#This Row],[Perimetrales kg]]/T_Fe[[#This Row],[Superficie m2]],)</f>
        <v>0</v>
      </c>
      <c r="Y39" s="22">
        <f>IFERROR(T_Fe[[#This Row],[Vigas kg]]/T_Fe[[#This Row],[Superficie m2]],)</f>
        <v>2.2999999999999998</v>
      </c>
      <c r="Z39" s="22">
        <f>IFERROR(T_Fe[[#This Row],[Losas kg]]/T_Fe[[#This Row],[Superficie m2]],)</f>
        <v>13.032409243862622</v>
      </c>
      <c r="AA39" s="22">
        <f>IFERROR(T_Fe[[#This Row],[Total kg]]/T_Fe[[#This Row],[Superficie m2]],)</f>
        <v>29.172409243862621</v>
      </c>
    </row>
    <row r="40" spans="1:27" x14ac:dyDescent="0.25">
      <c r="A40" s="30">
        <v>18003</v>
      </c>
      <c r="B40" s="31" t="str" cm="1">
        <f t="array" ref="B40">INDEX(T_Info[],MATCH(T_Fe[[#This Row],[Codigo]],T_Info[Codigo],0),COLUMN(T_Info[Proyecto]))</f>
        <v>Eleuterio Ramírez</v>
      </c>
      <c r="C40" s="30" t="str" cm="1">
        <f t="array" ref="C40">INDEX(T_Info[],MATCH(T_Fe[[#This Row],[Codigo]],T_Info[Codigo],0),COLUMN(T_Info[T.S]))</f>
        <v>B</v>
      </c>
      <c r="D40" s="30" cm="1">
        <f t="array" ref="D40">INDEX(T_Info[],MATCH(T_Fe[[#This Row],[Codigo]],T_Info[Codigo],0),COLUMN(T_Info[Z.S]))</f>
        <v>2</v>
      </c>
      <c r="E40" s="30" cm="1">
        <f t="array" ref="E40">INDEX(T_Info[],MATCH(T_Fe[[#This Row],[Codigo]],T_Info[Codigo],0),COLUMN(T_Info[Pisos]))</f>
        <v>12</v>
      </c>
      <c r="F40" s="30" cm="1">
        <f t="array" ref="F40">INDEX(T_Info[],MATCH(T_Fe[[#This Row],[Codigo]],T_Info[Codigo],0),COLUMN(T_Info[Subt.]))</f>
        <v>4</v>
      </c>
      <c r="G40" s="32" cm="1">
        <f t="array" ref="G40">INDEX(T_Info[],MATCH(T_Fe[[#This Row],[Codigo]],T_Info[Codigo],0),COLUMN(T_Info[Superficie m2]))</f>
        <v>11673.69</v>
      </c>
      <c r="H40" s="30" t="str" cm="1">
        <f t="array" ref="H40">IF(INDEX(T_Info[],MATCH(T_Fe[[#This Row],[Codigo]],T_Info[Codigo],0),COLUMN(T_Info[Postensado]))&lt;&gt;"",INDEX(T_Info[],MATCH(T_Fe[[#This Row],[Codigo]],T_Info[Codigo],0),COLUMN(T_Info[Postensado])),"")</f>
        <v/>
      </c>
      <c r="I40" s="30" t="str" cm="1">
        <f t="array" ref="I40">IF(INDEX(T_Info[],MATCH(T_Fe[[#This Row],[Codigo]],T_Info[Codigo],0),COLUMN(T_Info[Losa Fundación]))&lt;&gt;"",INDEX(T_Info[],MATCH(T_Fe[[#This Row],[Codigo]],T_Info[Codigo],0),COLUMN(T_Info[Losa Fundación])),"")</f>
        <v/>
      </c>
      <c r="J40" s="33">
        <v>2568.2118</v>
      </c>
      <c r="K40" s="33">
        <v>0</v>
      </c>
      <c r="L40" s="33">
        <v>186662.30310000002</v>
      </c>
      <c r="M40" s="33">
        <v>0</v>
      </c>
      <c r="N40" s="33">
        <v>47862.129000000001</v>
      </c>
      <c r="O40" s="33">
        <v>0</v>
      </c>
      <c r="P40" s="33">
        <v>0</v>
      </c>
      <c r="Q40" s="33">
        <v>138163.04773793218</v>
      </c>
      <c r="R40" s="33"/>
      <c r="S40" s="33"/>
      <c r="T40" s="33"/>
      <c r="U40" s="33">
        <f>SUM(T_Fe[[#This Row],[Fund kg]:[Cierros kg]])</f>
        <v>375255.69163793221</v>
      </c>
      <c r="V40" s="22">
        <f>IFERROR(T_Fe[[#This Row],[Fund kg]]/T_Fe[[#This Row],[Superficie m2]],)</f>
        <v>0.22</v>
      </c>
      <c r="W40" s="22">
        <f>IFERROR(T_Fe[[#This Row],[Muros kg]]/T_Fe[[#This Row],[Superficie m2]],)</f>
        <v>15.99</v>
      </c>
      <c r="X40" s="22">
        <f>IFERROR(T_Fe[[#This Row],[Perimetrales kg]]/T_Fe[[#This Row],[Superficie m2]],)</f>
        <v>0</v>
      </c>
      <c r="Y40" s="22">
        <f>IFERROR(T_Fe[[#This Row],[Vigas kg]]/T_Fe[[#This Row],[Superficie m2]],)</f>
        <v>4.0999999999999996</v>
      </c>
      <c r="Z40" s="22">
        <f>IFERROR(T_Fe[[#This Row],[Losas kg]]/T_Fe[[#This Row],[Superficie m2]],)</f>
        <v>11.835422024906622</v>
      </c>
      <c r="AA40" s="22">
        <f>IFERROR(T_Fe[[#This Row],[Total kg]]/T_Fe[[#This Row],[Superficie m2]],)</f>
        <v>32.145422024906622</v>
      </c>
    </row>
    <row r="41" spans="1:27" x14ac:dyDescent="0.25">
      <c r="A41" s="30">
        <v>18004</v>
      </c>
      <c r="B41" s="31" t="str" cm="1">
        <f t="array" ref="B41">INDEX(T_Info[],MATCH(T_Fe[[#This Row],[Codigo]],T_Info[Codigo],0),COLUMN(T_Info[Proyecto]))</f>
        <v>Vicente Huidobro</v>
      </c>
      <c r="C41" s="30" t="str" cm="1">
        <f t="array" ref="C41">INDEX(T_Info[],MATCH(T_Fe[[#This Row],[Codigo]],T_Info[Codigo],0),COLUMN(T_Info[T.S]))</f>
        <v>C</v>
      </c>
      <c r="D41" s="30" cm="1">
        <f t="array" ref="D41">INDEX(T_Info[],MATCH(T_Fe[[#This Row],[Codigo]],T_Info[Codigo],0),COLUMN(T_Info[Z.S]))</f>
        <v>2</v>
      </c>
      <c r="E41" s="30" cm="1">
        <f t="array" ref="E41">INDEX(T_Info[],MATCH(T_Fe[[#This Row],[Codigo]],T_Info[Codigo],0),COLUMN(T_Info[Pisos]))</f>
        <v>12</v>
      </c>
      <c r="F41" s="30" cm="1">
        <f t="array" ref="F41">INDEX(T_Info[],MATCH(T_Fe[[#This Row],[Codigo]],T_Info[Codigo],0),COLUMN(T_Info[Subt.]))</f>
        <v>3</v>
      </c>
      <c r="G41" s="32" cm="1">
        <f t="array" ref="G41">INDEX(T_Info[],MATCH(T_Fe[[#This Row],[Codigo]],T_Info[Codigo],0),COLUMN(T_Info[Superficie m2]))</f>
        <v>16237.81</v>
      </c>
      <c r="H41" s="30" t="str" cm="1">
        <f t="array" ref="H41">IF(INDEX(T_Info[],MATCH(T_Fe[[#This Row],[Codigo]],T_Info[Codigo],0),COLUMN(T_Info[Postensado]))&lt;&gt;"",INDEX(T_Info[],MATCH(T_Fe[[#This Row],[Codigo]],T_Info[Codigo],0),COLUMN(T_Info[Postensado])),"")</f>
        <v/>
      </c>
      <c r="I41" s="30" t="str" cm="1">
        <f t="array" ref="I41">IF(INDEX(T_Info[],MATCH(T_Fe[[#This Row],[Codigo]],T_Info[Codigo],0),COLUMN(T_Info[Losa Fundación]))&lt;&gt;"",INDEX(T_Info[],MATCH(T_Fe[[#This Row],[Codigo]],T_Info[Codigo],0),COLUMN(T_Info[Losa Fundación])),"")</f>
        <v>Si</v>
      </c>
      <c r="J41" s="33">
        <v>51960.991999999998</v>
      </c>
      <c r="K41" s="33">
        <v>0</v>
      </c>
      <c r="L41" s="33">
        <v>267923.86499999999</v>
      </c>
      <c r="M41" s="33">
        <v>0</v>
      </c>
      <c r="N41" s="33">
        <v>32475.62</v>
      </c>
      <c r="O41" s="33">
        <v>0</v>
      </c>
      <c r="P41" s="33">
        <v>0</v>
      </c>
      <c r="Q41" s="33">
        <v>213202.57247759227</v>
      </c>
      <c r="R41" s="33"/>
      <c r="S41" s="33"/>
      <c r="T41" s="33"/>
      <c r="U41" s="33">
        <f>SUM(T_Fe[[#This Row],[Fund kg]:[Cierros kg]])</f>
        <v>565563.04947759223</v>
      </c>
      <c r="V41" s="22">
        <f>IFERROR(T_Fe[[#This Row],[Fund kg]]/T_Fe[[#This Row],[Superficie m2]],)</f>
        <v>3.2</v>
      </c>
      <c r="W41" s="22">
        <f>IFERROR(T_Fe[[#This Row],[Muros kg]]/T_Fe[[#This Row],[Superficie m2]],)</f>
        <v>16.5</v>
      </c>
      <c r="X41" s="22">
        <f>IFERROR(T_Fe[[#This Row],[Perimetrales kg]]/T_Fe[[#This Row],[Superficie m2]],)</f>
        <v>0</v>
      </c>
      <c r="Y41" s="22">
        <f>IFERROR(T_Fe[[#This Row],[Vigas kg]]/T_Fe[[#This Row],[Superficie m2]],)</f>
        <v>2</v>
      </c>
      <c r="Z41" s="22">
        <f>IFERROR(T_Fe[[#This Row],[Losas kg]]/T_Fe[[#This Row],[Superficie m2]],)</f>
        <v>13.130007832188717</v>
      </c>
      <c r="AA41" s="22">
        <f>IFERROR(T_Fe[[#This Row],[Total kg]]/T_Fe[[#This Row],[Superficie m2]],)</f>
        <v>34.830007832188713</v>
      </c>
    </row>
    <row r="42" spans="1:27" x14ac:dyDescent="0.25">
      <c r="A42" s="30">
        <v>18006</v>
      </c>
      <c r="B42" s="31" t="str" cm="1">
        <f t="array" ref="B42">INDEX(T_Info[],MATCH(T_Fe[[#This Row],[Codigo]],T_Info[Codigo],0),COLUMN(T_Info[Proyecto]))</f>
        <v>Tucapel</v>
      </c>
      <c r="C42" s="30" t="str" cm="1">
        <f t="array" ref="C42">INDEX(T_Info[],MATCH(T_Fe[[#This Row],[Codigo]],T_Info[Codigo],0),COLUMN(T_Info[T.S]))</f>
        <v>D</v>
      </c>
      <c r="D42" s="30" cm="1">
        <f t="array" ref="D42">INDEX(T_Info[],MATCH(T_Fe[[#This Row],[Codigo]],T_Info[Codigo],0),COLUMN(T_Info[Z.S]))</f>
        <v>3</v>
      </c>
      <c r="E42" s="30" cm="1">
        <f t="array" ref="E42">INDEX(T_Info[],MATCH(T_Fe[[#This Row],[Codigo]],T_Info[Codigo],0),COLUMN(T_Info[Pisos]))</f>
        <v>19</v>
      </c>
      <c r="F42" s="30" cm="1">
        <f t="array" ref="F42">INDEX(T_Info[],MATCH(T_Fe[[#This Row],[Codigo]],T_Info[Codigo],0),COLUMN(T_Info[Subt.]))</f>
        <v>3</v>
      </c>
      <c r="G42" s="32" cm="1">
        <f t="array" ref="G42">INDEX(T_Info[],MATCH(T_Fe[[#This Row],[Codigo]],T_Info[Codigo],0),COLUMN(T_Info[Superficie m2]))</f>
        <v>17423.97</v>
      </c>
      <c r="H42" s="30" t="str" cm="1">
        <f t="array" ref="H42">IF(INDEX(T_Info[],MATCH(T_Fe[[#This Row],[Codigo]],T_Info[Codigo],0),COLUMN(T_Info[Postensado]))&lt;&gt;"",INDEX(T_Info[],MATCH(T_Fe[[#This Row],[Codigo]],T_Info[Codigo],0),COLUMN(T_Info[Postensado])),"")</f>
        <v/>
      </c>
      <c r="I42" s="30" t="str" cm="1">
        <f t="array" ref="I42">IF(INDEX(T_Info[],MATCH(T_Fe[[#This Row],[Codigo]],T_Info[Codigo],0),COLUMN(T_Info[Losa Fundación]))&lt;&gt;"",INDEX(T_Info[],MATCH(T_Fe[[#This Row],[Codigo]],T_Info[Codigo],0),COLUMN(T_Info[Losa Fundación])),"")</f>
        <v/>
      </c>
      <c r="J42" s="33">
        <v>122142.0297</v>
      </c>
      <c r="K42" s="33">
        <v>0</v>
      </c>
      <c r="L42" s="33">
        <v>577256.12610000011</v>
      </c>
      <c r="M42" s="33">
        <v>0</v>
      </c>
      <c r="N42" s="33">
        <v>102104.46420000002</v>
      </c>
      <c r="O42" s="33">
        <v>0</v>
      </c>
      <c r="P42" s="33">
        <v>0</v>
      </c>
      <c r="Q42" s="33">
        <v>220728.44999999998</v>
      </c>
      <c r="R42" s="33"/>
      <c r="S42" s="33"/>
      <c r="T42" s="33"/>
      <c r="U42" s="33">
        <f>SUM(T_Fe[[#This Row],[Fund kg]:[Cierros kg]])</f>
        <v>1022231.0700000001</v>
      </c>
      <c r="V42" s="22">
        <f>IFERROR(T_Fe[[#This Row],[Fund kg]]/T_Fe[[#This Row],[Superficie m2]],)</f>
        <v>7.01</v>
      </c>
      <c r="W42" s="22">
        <f>IFERROR(T_Fe[[#This Row],[Muros kg]]/T_Fe[[#This Row],[Superficie m2]],)</f>
        <v>33.130000000000003</v>
      </c>
      <c r="X42" s="22">
        <f>IFERROR(T_Fe[[#This Row],[Perimetrales kg]]/T_Fe[[#This Row],[Superficie m2]],)</f>
        <v>0</v>
      </c>
      <c r="Y42" s="22">
        <f>IFERROR(T_Fe[[#This Row],[Vigas kg]]/T_Fe[[#This Row],[Superficie m2]],)</f>
        <v>5.86</v>
      </c>
      <c r="Z42" s="22">
        <f>IFERROR(T_Fe[[#This Row],[Losas kg]]/T_Fe[[#This Row],[Superficie m2]],)</f>
        <v>12.668091715033944</v>
      </c>
      <c r="AA42" s="22">
        <f>IFERROR(T_Fe[[#This Row],[Total kg]]/T_Fe[[#This Row],[Superficie m2]],)</f>
        <v>58.668091715033945</v>
      </c>
    </row>
    <row r="43" spans="1:27" x14ac:dyDescent="0.25">
      <c r="A43" s="30">
        <v>18007</v>
      </c>
      <c r="B43" s="31" t="str" cm="1">
        <f t="array" ref="B43">INDEX(T_Info[],MATCH(T_Fe[[#This Row],[Codigo]],T_Info[Codigo],0),COLUMN(T_Info[Proyecto]))</f>
        <v>Alcántara</v>
      </c>
      <c r="C43" s="30" t="str" cm="1">
        <f t="array" ref="C43">INDEX(T_Info[],MATCH(T_Fe[[#This Row],[Codigo]],T_Info[Codigo],0),COLUMN(T_Info[T.S]))</f>
        <v>B</v>
      </c>
      <c r="D43" s="30" cm="1">
        <f t="array" ref="D43">INDEX(T_Info[],MATCH(T_Fe[[#This Row],[Codigo]],T_Info[Codigo],0),COLUMN(T_Info[Z.S]))</f>
        <v>2</v>
      </c>
      <c r="E43" s="30" cm="1">
        <f t="array" ref="E43">INDEX(T_Info[],MATCH(T_Fe[[#This Row],[Codigo]],T_Info[Codigo],0),COLUMN(T_Info[Pisos]))</f>
        <v>14</v>
      </c>
      <c r="F43" s="30" cm="1">
        <f t="array" ref="F43">INDEX(T_Info[],MATCH(T_Fe[[#This Row],[Codigo]],T_Info[Codigo],0),COLUMN(T_Info[Subt.]))</f>
        <v>3</v>
      </c>
      <c r="G43" s="32" cm="1">
        <f t="array" ref="G43">INDEX(T_Info[],MATCH(T_Fe[[#This Row],[Codigo]],T_Info[Codigo],0),COLUMN(T_Info[Superficie m2]))</f>
        <v>12532.51</v>
      </c>
      <c r="H43" s="30" t="str" cm="1">
        <f t="array" ref="H43">IF(INDEX(T_Info[],MATCH(T_Fe[[#This Row],[Codigo]],T_Info[Codigo],0),COLUMN(T_Info[Postensado]))&lt;&gt;"",INDEX(T_Info[],MATCH(T_Fe[[#This Row],[Codigo]],T_Info[Codigo],0),COLUMN(T_Info[Postensado])),"")</f>
        <v/>
      </c>
      <c r="I43" s="30" t="str" cm="1">
        <f t="array" ref="I43">IF(INDEX(T_Info[],MATCH(T_Fe[[#This Row],[Codigo]],T_Info[Codigo],0),COLUMN(T_Info[Losa Fundación]))&lt;&gt;"",INDEX(T_Info[],MATCH(T_Fe[[#This Row],[Codigo]],T_Info[Codigo],0),COLUMN(T_Info[Losa Fundación])),"")</f>
        <v/>
      </c>
      <c r="J43" s="33">
        <v>7519.5059999999994</v>
      </c>
      <c r="K43" s="33">
        <v>0</v>
      </c>
      <c r="L43" s="33">
        <v>159288.20210000002</v>
      </c>
      <c r="M43" s="33">
        <v>0</v>
      </c>
      <c r="N43" s="33">
        <v>51383.290999999997</v>
      </c>
      <c r="O43" s="33">
        <v>0</v>
      </c>
      <c r="P43" s="33">
        <v>0</v>
      </c>
      <c r="Q43" s="33">
        <v>167389.37071167692</v>
      </c>
      <c r="R43" s="33"/>
      <c r="S43" s="33"/>
      <c r="T43" s="33"/>
      <c r="U43" s="33">
        <f>SUM(T_Fe[[#This Row],[Fund kg]:[Cierros kg]])</f>
        <v>385580.36981167691</v>
      </c>
      <c r="V43" s="22">
        <f>IFERROR(T_Fe[[#This Row],[Fund kg]]/T_Fe[[#This Row],[Superficie m2]],)</f>
        <v>0.6</v>
      </c>
      <c r="W43" s="22">
        <f>IFERROR(T_Fe[[#This Row],[Muros kg]]/T_Fe[[#This Row],[Superficie m2]],)</f>
        <v>12.71</v>
      </c>
      <c r="X43" s="22">
        <f>IFERROR(T_Fe[[#This Row],[Perimetrales kg]]/T_Fe[[#This Row],[Superficie m2]],)</f>
        <v>0</v>
      </c>
      <c r="Y43" s="22">
        <f>IFERROR(T_Fe[[#This Row],[Vigas kg]]/T_Fe[[#This Row],[Superficie m2]],)</f>
        <v>4.0999999999999996</v>
      </c>
      <c r="Z43" s="22">
        <f>IFERROR(T_Fe[[#This Row],[Losas kg]]/T_Fe[[#This Row],[Superficie m2]],)</f>
        <v>13.35641229982477</v>
      </c>
      <c r="AA43" s="22">
        <f>IFERROR(T_Fe[[#This Row],[Total kg]]/T_Fe[[#This Row],[Superficie m2]],)</f>
        <v>30.766412299824768</v>
      </c>
    </row>
    <row r="44" spans="1:27" x14ac:dyDescent="0.25">
      <c r="A44" s="30">
        <v>18039</v>
      </c>
      <c r="B44" s="31" t="str" cm="1">
        <f t="array" ref="B44">INDEX(T_Info[],MATCH(T_Fe[[#This Row],[Codigo]],T_Info[Codigo],0),COLUMN(T_Info[Proyecto]))</f>
        <v>Portofino</v>
      </c>
      <c r="C44" s="30" t="str" cm="1">
        <f t="array" ref="C44">INDEX(T_Info[],MATCH(T_Fe[[#This Row],[Codigo]],T_Info[Codigo],0),COLUMN(T_Info[T.S]))</f>
        <v>B</v>
      </c>
      <c r="D44" s="30" cm="1">
        <f t="array" ref="D44">INDEX(T_Info[],MATCH(T_Fe[[#This Row],[Codigo]],T_Info[Codigo],0),COLUMN(T_Info[Z.S]))</f>
        <v>2</v>
      </c>
      <c r="E44" s="30" cm="1">
        <f t="array" ref="E44">INDEX(T_Info[],MATCH(T_Fe[[#This Row],[Codigo]],T_Info[Codigo],0),COLUMN(T_Info[Pisos]))</f>
        <v>15</v>
      </c>
      <c r="F44" s="30" cm="1">
        <f t="array" ref="F44">INDEX(T_Info[],MATCH(T_Fe[[#This Row],[Codigo]],T_Info[Codigo],0),COLUMN(T_Info[Subt.]))</f>
        <v>2</v>
      </c>
      <c r="G44" s="32" cm="1">
        <f t="array" ref="G44">INDEX(T_Info[],MATCH(T_Fe[[#This Row],[Codigo]],T_Info[Codigo],0),COLUMN(T_Info[Superficie m2]))</f>
        <v>10710.52</v>
      </c>
      <c r="H44" s="30" t="str" cm="1">
        <f t="array" ref="H44">IF(INDEX(T_Info[],MATCH(T_Fe[[#This Row],[Codigo]],T_Info[Codigo],0),COLUMN(T_Info[Postensado]))&lt;&gt;"",INDEX(T_Info[],MATCH(T_Fe[[#This Row],[Codigo]],T_Info[Codigo],0),COLUMN(T_Info[Postensado])),"")</f>
        <v/>
      </c>
      <c r="I44" s="30" t="str" cm="1">
        <f t="array" ref="I44">IF(INDEX(T_Info[],MATCH(T_Fe[[#This Row],[Codigo]],T_Info[Codigo],0),COLUMN(T_Info[Losa Fundación]))&lt;&gt;"",INDEX(T_Info[],MATCH(T_Fe[[#This Row],[Codigo]],T_Info[Codigo],0),COLUMN(T_Info[Losa Fundación])),"")</f>
        <v/>
      </c>
      <c r="J44" s="33">
        <v>6747.6276000000007</v>
      </c>
      <c r="K44" s="33">
        <v>0</v>
      </c>
      <c r="L44" s="33">
        <v>160764.90520000001</v>
      </c>
      <c r="M44" s="33">
        <v>0</v>
      </c>
      <c r="N44" s="33">
        <v>53338.38960000001</v>
      </c>
      <c r="O44" s="33">
        <v>0</v>
      </c>
      <c r="P44" s="33">
        <v>0</v>
      </c>
      <c r="Q44" s="33">
        <v>141140.64567545583</v>
      </c>
      <c r="R44" s="33"/>
      <c r="S44" s="33"/>
      <c r="T44" s="33"/>
      <c r="U44" s="33">
        <f>SUM(T_Fe[[#This Row],[Fund kg]:[Cierros kg]])</f>
        <v>361991.56807545584</v>
      </c>
      <c r="V44" s="22">
        <f>IFERROR(T_Fe[[#This Row],[Fund kg]]/T_Fe[[#This Row],[Superficie m2]],)</f>
        <v>0.63</v>
      </c>
      <c r="W44" s="22">
        <f>IFERROR(T_Fe[[#This Row],[Muros kg]]/T_Fe[[#This Row],[Superficie m2]],)</f>
        <v>15.01</v>
      </c>
      <c r="X44" s="22">
        <f>IFERROR(T_Fe[[#This Row],[Perimetrales kg]]/T_Fe[[#This Row],[Superficie m2]],)</f>
        <v>0</v>
      </c>
      <c r="Y44" s="22">
        <f>IFERROR(T_Fe[[#This Row],[Vigas kg]]/T_Fe[[#This Row],[Superficie m2]],)</f>
        <v>4.9800000000000004</v>
      </c>
      <c r="Z44" s="22">
        <f>IFERROR(T_Fe[[#This Row],[Losas kg]]/T_Fe[[#This Row],[Superficie m2]],)</f>
        <v>13.177758472553696</v>
      </c>
      <c r="AA44" s="22">
        <f>IFERROR(T_Fe[[#This Row],[Total kg]]/T_Fe[[#This Row],[Superficie m2]],)</f>
        <v>33.797758472553696</v>
      </c>
    </row>
    <row r="45" spans="1:27" x14ac:dyDescent="0.25">
      <c r="A45" s="30">
        <v>18044</v>
      </c>
      <c r="B45" s="31" t="str" cm="1">
        <f t="array" ref="B45">INDEX(T_Info[],MATCH(T_Fe[[#This Row],[Codigo]],T_Info[Codigo],0),COLUMN(T_Info[Proyecto]))</f>
        <v>San Joaquin</v>
      </c>
      <c r="C45" s="30" t="str" cm="1">
        <f t="array" ref="C45">INDEX(T_Info[],MATCH(T_Fe[[#This Row],[Codigo]],T_Info[Codigo],0),COLUMN(T_Info[T.S]))</f>
        <v>B</v>
      </c>
      <c r="D45" s="30" cm="1">
        <f t="array" ref="D45">INDEX(T_Info[],MATCH(T_Fe[[#This Row],[Codigo]],T_Info[Codigo],0),COLUMN(T_Info[Z.S]))</f>
        <v>2</v>
      </c>
      <c r="E45" s="30" cm="1">
        <f t="array" ref="E45">INDEX(T_Info[],MATCH(T_Fe[[#This Row],[Codigo]],T_Info[Codigo],0),COLUMN(T_Info[Pisos]))</f>
        <v>16</v>
      </c>
      <c r="F45" s="30" cm="1">
        <f t="array" ref="F45">INDEX(T_Info[],MATCH(T_Fe[[#This Row],[Codigo]],T_Info[Codigo],0),COLUMN(T_Info[Subt.]))</f>
        <v>1</v>
      </c>
      <c r="G45" s="32" cm="1">
        <f t="array" ref="G45">INDEX(T_Info[],MATCH(T_Fe[[#This Row],[Codigo]],T_Info[Codigo],0),COLUMN(T_Info[Superficie m2]))</f>
        <v>33962.75</v>
      </c>
      <c r="H45" s="30" t="str" cm="1">
        <f t="array" ref="H45">IF(INDEX(T_Info[],MATCH(T_Fe[[#This Row],[Codigo]],T_Info[Codigo],0),COLUMN(T_Info[Postensado]))&lt;&gt;"",INDEX(T_Info[],MATCH(T_Fe[[#This Row],[Codigo]],T_Info[Codigo],0),COLUMN(T_Info[Postensado])),"")</f>
        <v/>
      </c>
      <c r="I45" s="30" t="str" cm="1">
        <f t="array" ref="I45">IF(INDEX(T_Info[],MATCH(T_Fe[[#This Row],[Codigo]],T_Info[Codigo],0),COLUMN(T_Info[Losa Fundación]))&lt;&gt;"",INDEX(T_Info[],MATCH(T_Fe[[#This Row],[Codigo]],T_Info[Codigo],0),COLUMN(T_Info[Losa Fundación])),"")</f>
        <v/>
      </c>
      <c r="J45" s="33">
        <v>34981.6325</v>
      </c>
      <c r="K45" s="33">
        <v>0</v>
      </c>
      <c r="L45" s="33">
        <v>465289.67499999999</v>
      </c>
      <c r="M45" s="33">
        <v>0</v>
      </c>
      <c r="N45" s="33">
        <v>71661.402499999997</v>
      </c>
      <c r="O45" s="33">
        <v>0</v>
      </c>
      <c r="P45" s="33">
        <v>0</v>
      </c>
      <c r="Q45" s="33">
        <v>431470.61692609312</v>
      </c>
      <c r="R45" s="33"/>
      <c r="S45" s="33"/>
      <c r="T45" s="33"/>
      <c r="U45" s="33">
        <f>SUM(T_Fe[[#This Row],[Fund kg]:[Cierros kg]])</f>
        <v>1003403.3269260931</v>
      </c>
      <c r="V45" s="22">
        <f>IFERROR(T_Fe[[#This Row],[Fund kg]]/T_Fe[[#This Row],[Superficie m2]],)</f>
        <v>1.03</v>
      </c>
      <c r="W45" s="22">
        <f>IFERROR(T_Fe[[#This Row],[Muros kg]]/T_Fe[[#This Row],[Superficie m2]],)</f>
        <v>13.7</v>
      </c>
      <c r="X45" s="22">
        <f>IFERROR(T_Fe[[#This Row],[Perimetrales kg]]/T_Fe[[#This Row],[Superficie m2]],)</f>
        <v>0</v>
      </c>
      <c r="Y45" s="22">
        <f>IFERROR(T_Fe[[#This Row],[Vigas kg]]/T_Fe[[#This Row],[Superficie m2]],)</f>
        <v>2.11</v>
      </c>
      <c r="Z45" s="22">
        <f>IFERROR(T_Fe[[#This Row],[Losas kg]]/T_Fe[[#This Row],[Superficie m2]],)</f>
        <v>12.704230868410042</v>
      </c>
      <c r="AA45" s="22">
        <f>IFERROR(T_Fe[[#This Row],[Total kg]]/T_Fe[[#This Row],[Superficie m2]],)</f>
        <v>29.54423086841004</v>
      </c>
    </row>
    <row r="46" spans="1:27" x14ac:dyDescent="0.25">
      <c r="A46" s="30">
        <v>18057</v>
      </c>
      <c r="B46" s="31" t="str" cm="1">
        <f t="array" ref="B46">INDEX(T_Info[],MATCH(T_Fe[[#This Row],[Codigo]],T_Info[Codigo],0),COLUMN(T_Info[Proyecto]))</f>
        <v>2 Norte</v>
      </c>
      <c r="C46" s="30" t="str" cm="1">
        <f t="array" ref="C46">INDEX(T_Info[],MATCH(T_Fe[[#This Row],[Codigo]],T_Info[Codigo],0),COLUMN(T_Info[T.S]))</f>
        <v>D</v>
      </c>
      <c r="D46" s="30" cm="1">
        <f t="array" ref="D46">INDEX(T_Info[],MATCH(T_Fe[[#This Row],[Codigo]],T_Info[Codigo],0),COLUMN(T_Info[Z.S]))</f>
        <v>3</v>
      </c>
      <c r="E46" s="30" cm="1">
        <f t="array" ref="E46">INDEX(T_Info[],MATCH(T_Fe[[#This Row],[Codigo]],T_Info[Codigo],0),COLUMN(T_Info[Pisos]))</f>
        <v>17</v>
      </c>
      <c r="F46" s="30" cm="1">
        <f t="array" ref="F46">INDEX(T_Info[],MATCH(T_Fe[[#This Row],[Codigo]],T_Info[Codigo],0),COLUMN(T_Info[Subt.]))</f>
        <v>2</v>
      </c>
      <c r="G46" s="32" cm="1">
        <f t="array" ref="G46">INDEX(T_Info[],MATCH(T_Fe[[#This Row],[Codigo]],T_Info[Codigo],0),COLUMN(T_Info[Superficie m2]))</f>
        <v>10358.24</v>
      </c>
      <c r="H46" s="30" t="str" cm="1">
        <f t="array" ref="H46">IF(INDEX(T_Info[],MATCH(T_Fe[[#This Row],[Codigo]],T_Info[Codigo],0),COLUMN(T_Info[Postensado]))&lt;&gt;"",INDEX(T_Info[],MATCH(T_Fe[[#This Row],[Codigo]],T_Info[Codigo],0),COLUMN(T_Info[Postensado])),"")</f>
        <v/>
      </c>
      <c r="I46" s="30" t="str" cm="1">
        <f t="array" ref="I46">IF(INDEX(T_Info[],MATCH(T_Fe[[#This Row],[Codigo]],T_Info[Codigo],0),COLUMN(T_Info[Losa Fundación]))&lt;&gt;"",INDEX(T_Info[],MATCH(T_Fe[[#This Row],[Codigo]],T_Info[Codigo],0),COLUMN(T_Info[Losa Fundación])),"")</f>
        <v/>
      </c>
      <c r="J46" s="33">
        <v>64428.252799999995</v>
      </c>
      <c r="K46" s="33">
        <v>0</v>
      </c>
      <c r="L46" s="33">
        <v>282262.03999999998</v>
      </c>
      <c r="M46" s="33">
        <v>0</v>
      </c>
      <c r="N46" s="33">
        <v>52205.529600000002</v>
      </c>
      <c r="O46" s="33">
        <v>0</v>
      </c>
      <c r="P46" s="33">
        <v>0</v>
      </c>
      <c r="Q46" s="33">
        <v>142190.04856250147</v>
      </c>
      <c r="R46" s="33"/>
      <c r="S46" s="33"/>
      <c r="T46" s="33"/>
      <c r="U46" s="33">
        <f>SUM(T_Fe[[#This Row],[Fund kg]:[Cierros kg]])</f>
        <v>541085.8709625015</v>
      </c>
      <c r="V46" s="22">
        <f>IFERROR(T_Fe[[#This Row],[Fund kg]]/T_Fe[[#This Row],[Superficie m2]],)</f>
        <v>6.22</v>
      </c>
      <c r="W46" s="22">
        <f>IFERROR(T_Fe[[#This Row],[Muros kg]]/T_Fe[[#This Row],[Superficie m2]],)</f>
        <v>27.25</v>
      </c>
      <c r="X46" s="22">
        <f>IFERROR(T_Fe[[#This Row],[Perimetrales kg]]/T_Fe[[#This Row],[Superficie m2]],)</f>
        <v>0</v>
      </c>
      <c r="Y46" s="22">
        <f>IFERROR(T_Fe[[#This Row],[Vigas kg]]/T_Fe[[#This Row],[Superficie m2]],)</f>
        <v>5.04</v>
      </c>
      <c r="Z46" s="22">
        <f>IFERROR(T_Fe[[#This Row],[Losas kg]]/T_Fe[[#This Row],[Superficie m2]],)</f>
        <v>13.727240203210339</v>
      </c>
      <c r="AA46" s="22">
        <f>IFERROR(T_Fe[[#This Row],[Total kg]]/T_Fe[[#This Row],[Superficie m2]],)</f>
        <v>52.237240203210341</v>
      </c>
    </row>
    <row r="47" spans="1:27" x14ac:dyDescent="0.25">
      <c r="A47" s="30">
        <v>18063</v>
      </c>
      <c r="B47" s="31" t="str" cm="1">
        <f t="array" ref="B47">INDEX(T_Info[],MATCH(T_Fe[[#This Row],[Codigo]],T_Info[Codigo],0),COLUMN(T_Info[Proyecto]))</f>
        <v>Lyon BOX</v>
      </c>
      <c r="C47" s="30" t="str" cm="1">
        <f t="array" ref="C47">INDEX(T_Info[],MATCH(T_Fe[[#This Row],[Codigo]],T_Info[Codigo],0),COLUMN(T_Info[T.S]))</f>
        <v>B</v>
      </c>
      <c r="D47" s="30" cm="1">
        <f t="array" ref="D47">INDEX(T_Info[],MATCH(T_Fe[[#This Row],[Codigo]],T_Info[Codigo],0),COLUMN(T_Info[Z.S]))</f>
        <v>2</v>
      </c>
      <c r="E47" s="30" cm="1">
        <f t="array" ref="E47">INDEX(T_Info[],MATCH(T_Fe[[#This Row],[Codigo]],T_Info[Codigo],0),COLUMN(T_Info[Pisos]))</f>
        <v>8</v>
      </c>
      <c r="F47" s="30" cm="1">
        <f t="array" ref="F47">INDEX(T_Info[],MATCH(T_Fe[[#This Row],[Codigo]],T_Info[Codigo],0),COLUMN(T_Info[Subt.]))</f>
        <v>2</v>
      </c>
      <c r="G47" s="32" cm="1">
        <f t="array" ref="G47">INDEX(T_Info[],MATCH(T_Fe[[#This Row],[Codigo]],T_Info[Codigo],0),COLUMN(T_Info[Superficie m2]))</f>
        <v>6906.02</v>
      </c>
      <c r="H47" s="30" t="str" cm="1">
        <f t="array" ref="H47">IF(INDEX(T_Info[],MATCH(T_Fe[[#This Row],[Codigo]],T_Info[Codigo],0),COLUMN(T_Info[Postensado]))&lt;&gt;"",INDEX(T_Info[],MATCH(T_Fe[[#This Row],[Codigo]],T_Info[Codigo],0),COLUMN(T_Info[Postensado])),"")</f>
        <v/>
      </c>
      <c r="I47" s="30" t="str" cm="1">
        <f t="array" ref="I47">IF(INDEX(T_Info[],MATCH(T_Fe[[#This Row],[Codigo]],T_Info[Codigo],0),COLUMN(T_Info[Losa Fundación]))&lt;&gt;"",INDEX(T_Info[],MATCH(T_Fe[[#This Row],[Codigo]],T_Info[Codigo],0),COLUMN(T_Info[Losa Fundación])),"")</f>
        <v/>
      </c>
      <c r="J47" s="33">
        <v>3798.3110000000006</v>
      </c>
      <c r="K47" s="33">
        <v>0</v>
      </c>
      <c r="L47" s="33">
        <v>80247.952399999995</v>
      </c>
      <c r="M47" s="33">
        <v>20787.120200000001</v>
      </c>
      <c r="N47" s="33">
        <v>29212.464600000003</v>
      </c>
      <c r="O47" s="33">
        <v>0</v>
      </c>
      <c r="P47" s="33">
        <v>0</v>
      </c>
      <c r="Q47" s="33">
        <v>96820.620089733347</v>
      </c>
      <c r="R47" s="33"/>
      <c r="S47" s="33"/>
      <c r="T47" s="33"/>
      <c r="U47" s="33">
        <f>SUM(T_Fe[[#This Row],[Fund kg]:[Cierros kg]])</f>
        <v>230866.46828973334</v>
      </c>
      <c r="V47" s="22">
        <f>IFERROR(T_Fe[[#This Row],[Fund kg]]/T_Fe[[#This Row],[Superficie m2]],)</f>
        <v>0.55000000000000004</v>
      </c>
      <c r="W47" s="22">
        <f>IFERROR(T_Fe[[#This Row],[Muros kg]]/T_Fe[[#This Row],[Superficie m2]],)</f>
        <v>11.62</v>
      </c>
      <c r="X47" s="22">
        <f>IFERROR(T_Fe[[#This Row],[Perimetrales kg]]/T_Fe[[#This Row],[Superficie m2]],)</f>
        <v>3.01</v>
      </c>
      <c r="Y47" s="22">
        <f>IFERROR(T_Fe[[#This Row],[Vigas kg]]/T_Fe[[#This Row],[Superficie m2]],)</f>
        <v>4.2300000000000004</v>
      </c>
      <c r="Z47" s="22">
        <f>IFERROR(T_Fe[[#This Row],[Losas kg]]/T_Fe[[#This Row],[Superficie m2]],)</f>
        <v>14.019742208932691</v>
      </c>
      <c r="AA47" s="22">
        <f>IFERROR(T_Fe[[#This Row],[Total kg]]/T_Fe[[#This Row],[Superficie m2]],)</f>
        <v>33.429742208932687</v>
      </c>
    </row>
    <row r="48" spans="1:27" x14ac:dyDescent="0.25">
      <c r="A48" s="30">
        <v>18072</v>
      </c>
      <c r="B48" s="31" t="str" cm="1">
        <f t="array" ref="B48">INDEX(T_Info[],MATCH(T_Fe[[#This Row],[Codigo]],T_Info[Codigo],0),COLUMN(T_Info[Proyecto]))</f>
        <v>Eliodoro</v>
      </c>
      <c r="C48" s="30" t="str" cm="1">
        <f t="array" ref="C48">INDEX(T_Info[],MATCH(T_Fe[[#This Row],[Codigo]],T_Info[Codigo],0),COLUMN(T_Info[T.S]))</f>
        <v>B</v>
      </c>
      <c r="D48" s="30" cm="1">
        <f t="array" ref="D48">INDEX(T_Info[],MATCH(T_Fe[[#This Row],[Codigo]],T_Info[Codigo],0),COLUMN(T_Info[Z.S]))</f>
        <v>2</v>
      </c>
      <c r="E48" s="30" cm="1">
        <f t="array" ref="E48">INDEX(T_Info[],MATCH(T_Fe[[#This Row],[Codigo]],T_Info[Codigo],0),COLUMN(T_Info[Pisos]))</f>
        <v>12</v>
      </c>
      <c r="F48" s="30" cm="1">
        <f t="array" ref="F48">INDEX(T_Info[],MATCH(T_Fe[[#This Row],[Codigo]],T_Info[Codigo],0),COLUMN(T_Info[Subt.]))</f>
        <v>3</v>
      </c>
      <c r="G48" s="32" cm="1">
        <f t="array" ref="G48">INDEX(T_Info[],MATCH(T_Fe[[#This Row],[Codigo]],T_Info[Codigo],0),COLUMN(T_Info[Superficie m2]))</f>
        <v>17234.18</v>
      </c>
      <c r="H48" s="30" t="str" cm="1">
        <f t="array" ref="H48">IF(INDEX(T_Info[],MATCH(T_Fe[[#This Row],[Codigo]],T_Info[Codigo],0),COLUMN(T_Info[Postensado]))&lt;&gt;"",INDEX(T_Info[],MATCH(T_Fe[[#This Row],[Codigo]],T_Info[Codigo],0),COLUMN(T_Info[Postensado])),"")</f>
        <v/>
      </c>
      <c r="I48" s="30" t="str" cm="1">
        <f t="array" ref="I48">IF(INDEX(T_Info[],MATCH(T_Fe[[#This Row],[Codigo]],T_Info[Codigo],0),COLUMN(T_Info[Losa Fundación]))&lt;&gt;"",INDEX(T_Info[],MATCH(T_Fe[[#This Row],[Codigo]],T_Info[Codigo],0),COLUMN(T_Info[Losa Fundación])),"")</f>
        <v/>
      </c>
      <c r="J48" s="33">
        <v>5514.9376000000002</v>
      </c>
      <c r="K48" s="33">
        <v>0</v>
      </c>
      <c r="L48" s="33">
        <v>215944.27539999998</v>
      </c>
      <c r="M48" s="33">
        <v>40672.664799999999</v>
      </c>
      <c r="N48" s="33">
        <v>50668.489199999996</v>
      </c>
      <c r="O48" s="33">
        <v>0</v>
      </c>
      <c r="P48" s="33">
        <v>0</v>
      </c>
      <c r="Q48" s="33">
        <v>246325.9837656662</v>
      </c>
      <c r="R48" s="33"/>
      <c r="S48" s="33"/>
      <c r="T48" s="33"/>
      <c r="U48" s="33">
        <f>SUM(T_Fe[[#This Row],[Fund kg]:[Cierros kg]])</f>
        <v>559126.35076566623</v>
      </c>
      <c r="V48" s="22">
        <f>IFERROR(T_Fe[[#This Row],[Fund kg]]/T_Fe[[#This Row],[Superficie m2]],)</f>
        <v>0.32</v>
      </c>
      <c r="W48" s="22">
        <f>IFERROR(T_Fe[[#This Row],[Muros kg]]/T_Fe[[#This Row],[Superficie m2]],)</f>
        <v>12.53</v>
      </c>
      <c r="X48" s="22">
        <f>IFERROR(T_Fe[[#This Row],[Perimetrales kg]]/T_Fe[[#This Row],[Superficie m2]],)</f>
        <v>2.36</v>
      </c>
      <c r="Y48" s="22">
        <f>IFERROR(T_Fe[[#This Row],[Vigas kg]]/T_Fe[[#This Row],[Superficie m2]],)</f>
        <v>2.94</v>
      </c>
      <c r="Z48" s="22">
        <f>IFERROR(T_Fe[[#This Row],[Losas kg]]/T_Fe[[#This Row],[Superficie m2]],)</f>
        <v>14.292875191373549</v>
      </c>
      <c r="AA48" s="22">
        <f>IFERROR(T_Fe[[#This Row],[Total kg]]/T_Fe[[#This Row],[Superficie m2]],)</f>
        <v>32.442875191373552</v>
      </c>
    </row>
    <row r="49" spans="1:27" x14ac:dyDescent="0.25">
      <c r="A49" s="30">
        <v>18081</v>
      </c>
      <c r="B49" s="31" t="str" cm="1">
        <f t="array" ref="B49">INDEX(T_Info[],MATCH(T_Fe[[#This Row],[Codigo]],T_Info[Codigo],0),COLUMN(T_Info[Proyecto]))</f>
        <v>Villaseca (V0)</v>
      </c>
      <c r="C49" s="30" t="str" cm="1">
        <f t="array" ref="C49">INDEX(T_Info[],MATCH(T_Fe[[#This Row],[Codigo]],T_Info[Codigo],0),COLUMN(T_Info[T.S]))</f>
        <v>B</v>
      </c>
      <c r="D49" s="30" cm="1">
        <f t="array" ref="D49">INDEX(T_Info[],MATCH(T_Fe[[#This Row],[Codigo]],T_Info[Codigo],0),COLUMN(T_Info[Z.S]))</f>
        <v>2</v>
      </c>
      <c r="E49" s="30" cm="1">
        <f t="array" ref="E49">INDEX(T_Info[],MATCH(T_Fe[[#This Row],[Codigo]],T_Info[Codigo],0),COLUMN(T_Info[Pisos]))</f>
        <v>7</v>
      </c>
      <c r="F49" s="30" cm="1">
        <f t="array" ref="F49">INDEX(T_Info[],MATCH(T_Fe[[#This Row],[Codigo]],T_Info[Codigo],0),COLUMN(T_Info[Subt.]))</f>
        <v>2</v>
      </c>
      <c r="G49" s="32" cm="1">
        <f t="array" ref="G49">INDEX(T_Info[],MATCH(T_Fe[[#This Row],[Codigo]],T_Info[Codigo],0),COLUMN(T_Info[Superficie m2]))</f>
        <v>12550.05</v>
      </c>
      <c r="H49" s="30" t="str" cm="1">
        <f t="array" ref="H49">IF(INDEX(T_Info[],MATCH(T_Fe[[#This Row],[Codigo]],T_Info[Codigo],0),COLUMN(T_Info[Postensado]))&lt;&gt;"",INDEX(T_Info[],MATCH(T_Fe[[#This Row],[Codigo]],T_Info[Codigo],0),COLUMN(T_Info[Postensado])),"")</f>
        <v/>
      </c>
      <c r="I49" s="30" t="str" cm="1">
        <f t="array" ref="I49">IF(INDEX(T_Info[],MATCH(T_Fe[[#This Row],[Codigo]],T_Info[Codigo],0),COLUMN(T_Info[Losa Fundación]))&lt;&gt;"",INDEX(T_Info[],MATCH(T_Fe[[#This Row],[Codigo]],T_Info[Codigo],0),COLUMN(T_Info[Losa Fundación])),"")</f>
        <v/>
      </c>
      <c r="J49" s="33">
        <v>5271.0209999999997</v>
      </c>
      <c r="K49" s="33">
        <v>0</v>
      </c>
      <c r="L49" s="33">
        <v>113452.45199999998</v>
      </c>
      <c r="M49" s="33">
        <v>30998.623500000002</v>
      </c>
      <c r="N49" s="33">
        <v>42293.6685</v>
      </c>
      <c r="O49" s="33">
        <v>0</v>
      </c>
      <c r="P49" s="33">
        <v>0</v>
      </c>
      <c r="Q49" s="33">
        <v>174487.04994709246</v>
      </c>
      <c r="R49" s="33"/>
      <c r="S49" s="33"/>
      <c r="T49" s="33"/>
      <c r="U49" s="33">
        <f>SUM(T_Fe[[#This Row],[Fund kg]:[Cierros kg]])</f>
        <v>366502.81494709244</v>
      </c>
      <c r="V49" s="22">
        <f>IFERROR(T_Fe[[#This Row],[Fund kg]]/T_Fe[[#This Row],[Superficie m2]],)</f>
        <v>0.42</v>
      </c>
      <c r="W49" s="22">
        <f>IFERROR(T_Fe[[#This Row],[Muros kg]]/T_Fe[[#This Row],[Superficie m2]],)</f>
        <v>9.0399999999999991</v>
      </c>
      <c r="X49" s="22">
        <f>IFERROR(T_Fe[[#This Row],[Perimetrales kg]]/T_Fe[[#This Row],[Superficie m2]],)</f>
        <v>2.4700000000000002</v>
      </c>
      <c r="Y49" s="22">
        <f>IFERROR(T_Fe[[#This Row],[Vigas kg]]/T_Fe[[#This Row],[Superficie m2]],)</f>
        <v>3.37</v>
      </c>
      <c r="Z49" s="22">
        <f>IFERROR(T_Fe[[#This Row],[Losas kg]]/T_Fe[[#This Row],[Superficie m2]],)</f>
        <v>13.903295201779473</v>
      </c>
      <c r="AA49" s="22">
        <f>IFERROR(T_Fe[[#This Row],[Total kg]]/T_Fe[[#This Row],[Superficie m2]],)</f>
        <v>29.203295201779472</v>
      </c>
    </row>
    <row r="50" spans="1:27" x14ac:dyDescent="0.25">
      <c r="A50" s="30">
        <v>19006</v>
      </c>
      <c r="B50" s="31" t="str" cm="1">
        <f t="array" ref="B50">INDEX(T_Info[],MATCH(T_Fe[[#This Row],[Codigo]],T_Info[Codigo],0),COLUMN(T_Info[Proyecto]))</f>
        <v>Eliecer Parada</v>
      </c>
      <c r="C50" s="30" t="str" cm="1">
        <f t="array" ref="C50">INDEX(T_Info[],MATCH(T_Fe[[#This Row],[Codigo]],T_Info[Codigo],0),COLUMN(T_Info[T.S]))</f>
        <v>B</v>
      </c>
      <c r="D50" s="30" cm="1">
        <f t="array" ref="D50">INDEX(T_Info[],MATCH(T_Fe[[#This Row],[Codigo]],T_Info[Codigo],0),COLUMN(T_Info[Z.S]))</f>
        <v>2</v>
      </c>
      <c r="E50" s="30" cm="1">
        <f t="array" ref="E50">INDEX(T_Info[],MATCH(T_Fe[[#This Row],[Codigo]],T_Info[Codigo],0),COLUMN(T_Info[Pisos]))</f>
        <v>7</v>
      </c>
      <c r="F50" s="30" cm="1">
        <f t="array" ref="F50">INDEX(T_Info[],MATCH(T_Fe[[#This Row],[Codigo]],T_Info[Codigo],0),COLUMN(T_Info[Subt.]))</f>
        <v>2</v>
      </c>
      <c r="G50" s="32" cm="1">
        <f t="array" ref="G50">INDEX(T_Info[],MATCH(T_Fe[[#This Row],[Codigo]],T_Info[Codigo],0),COLUMN(T_Info[Superficie m2]))</f>
        <v>10043.77</v>
      </c>
      <c r="H50" s="30" t="str" cm="1">
        <f t="array" ref="H50">IF(INDEX(T_Info[],MATCH(T_Fe[[#This Row],[Codigo]],T_Info[Codigo],0),COLUMN(T_Info[Postensado]))&lt;&gt;"",INDEX(T_Info[],MATCH(T_Fe[[#This Row],[Codigo]],T_Info[Codigo],0),COLUMN(T_Info[Postensado])),"")</f>
        <v/>
      </c>
      <c r="I50" s="30" t="str" cm="1">
        <f t="array" ref="I50">IF(INDEX(T_Info[],MATCH(T_Fe[[#This Row],[Codigo]],T_Info[Codigo],0),COLUMN(T_Info[Losa Fundación]))&lt;&gt;"",INDEX(T_Info[],MATCH(T_Fe[[#This Row],[Codigo]],T_Info[Codigo],0),COLUMN(T_Info[Losa Fundación])),"")</f>
        <v/>
      </c>
      <c r="J50" s="33">
        <v>3013.1309999999999</v>
      </c>
      <c r="K50" s="33">
        <v>0</v>
      </c>
      <c r="L50" s="33">
        <v>76834.840500000006</v>
      </c>
      <c r="M50" s="33">
        <v>23401.984100000001</v>
      </c>
      <c r="N50" s="33">
        <v>41179.456999999995</v>
      </c>
      <c r="O50" s="33">
        <v>0</v>
      </c>
      <c r="P50" s="33">
        <v>0</v>
      </c>
      <c r="Q50" s="33">
        <v>131573.38699999999</v>
      </c>
      <c r="R50" s="33"/>
      <c r="S50" s="33"/>
      <c r="T50" s="33"/>
      <c r="U50" s="33">
        <f>SUM(T_Fe[[#This Row],[Fund kg]:[Cierros kg]])</f>
        <v>276002.79959999997</v>
      </c>
      <c r="V50" s="22">
        <f>IFERROR(T_Fe[[#This Row],[Fund kg]]/T_Fe[[#This Row],[Superficie m2]],)</f>
        <v>0.3</v>
      </c>
      <c r="W50" s="22">
        <f>IFERROR(T_Fe[[#This Row],[Muros kg]]/T_Fe[[#This Row],[Superficie m2]],)</f>
        <v>7.65</v>
      </c>
      <c r="X50" s="22">
        <f>IFERROR(T_Fe[[#This Row],[Perimetrales kg]]/T_Fe[[#This Row],[Superficie m2]],)</f>
        <v>2.33</v>
      </c>
      <c r="Y50" s="22">
        <f>IFERROR(T_Fe[[#This Row],[Vigas kg]]/T_Fe[[#This Row],[Superficie m2]],)</f>
        <v>4.0999999999999996</v>
      </c>
      <c r="Z50" s="22">
        <f>IFERROR(T_Fe[[#This Row],[Losas kg]]/T_Fe[[#This Row],[Superficie m2]],)</f>
        <v>13.099999999999998</v>
      </c>
      <c r="AA50" s="22">
        <f>IFERROR(T_Fe[[#This Row],[Total kg]]/T_Fe[[#This Row],[Superficie m2]],)</f>
        <v>27.479999999999997</v>
      </c>
    </row>
    <row r="51" spans="1:27" x14ac:dyDescent="0.25">
      <c r="A51" s="30">
        <v>19009</v>
      </c>
      <c r="B51" s="31" t="str" cm="1">
        <f t="array" ref="B51">INDEX(T_Info[],MATCH(T_Fe[[#This Row],[Codigo]],T_Info[Codigo],0),COLUMN(T_Info[Proyecto]))</f>
        <v>San Diego</v>
      </c>
      <c r="C51" s="30" t="str" cm="1">
        <f t="array" ref="C51">INDEX(T_Info[],MATCH(T_Fe[[#This Row],[Codigo]],T_Info[Codigo],0),COLUMN(T_Info[T.S]))</f>
        <v>B</v>
      </c>
      <c r="D51" s="30" cm="1">
        <f t="array" ref="D51">INDEX(T_Info[],MATCH(T_Fe[[#This Row],[Codigo]],T_Info[Codigo],0),COLUMN(T_Info[Z.S]))</f>
        <v>2</v>
      </c>
      <c r="E51" s="30" cm="1">
        <f t="array" ref="E51">INDEX(T_Info[],MATCH(T_Fe[[#This Row],[Codigo]],T_Info[Codigo],0),COLUMN(T_Info[Pisos]))</f>
        <v>9</v>
      </c>
      <c r="F51" s="30" cm="1">
        <f t="array" ref="F51">INDEX(T_Info[],MATCH(T_Fe[[#This Row],[Codigo]],T_Info[Codigo],0),COLUMN(T_Info[Subt.]))</f>
        <v>3</v>
      </c>
      <c r="G51" s="32" cm="1">
        <f t="array" ref="G51">INDEX(T_Info[],MATCH(T_Fe[[#This Row],[Codigo]],T_Info[Codigo],0),COLUMN(T_Info[Superficie m2]))</f>
        <v>13376.77</v>
      </c>
      <c r="H51" s="30" t="str" cm="1">
        <f t="array" ref="H51">IF(INDEX(T_Info[],MATCH(T_Fe[[#This Row],[Codigo]],T_Info[Codigo],0),COLUMN(T_Info[Postensado]))&lt;&gt;"",INDEX(T_Info[],MATCH(T_Fe[[#This Row],[Codigo]],T_Info[Codigo],0),COLUMN(T_Info[Postensado])),"")</f>
        <v/>
      </c>
      <c r="I51" s="30" t="str" cm="1">
        <f t="array" ref="I51">IF(INDEX(T_Info[],MATCH(T_Fe[[#This Row],[Codigo]],T_Info[Codigo],0),COLUMN(T_Info[Losa Fundación]))&lt;&gt;"",INDEX(T_Info[],MATCH(T_Fe[[#This Row],[Codigo]],T_Info[Codigo],0),COLUMN(T_Info[Losa Fundación])),"")</f>
        <v/>
      </c>
      <c r="J51" s="33">
        <v>2407.8186000000001</v>
      </c>
      <c r="K51" s="33">
        <v>0</v>
      </c>
      <c r="L51" s="33">
        <v>138048.26640000002</v>
      </c>
      <c r="M51" s="33">
        <v>34779.601999999999</v>
      </c>
      <c r="N51" s="33">
        <v>30231.500199999999</v>
      </c>
      <c r="O51" s="33">
        <v>0</v>
      </c>
      <c r="P51" s="33">
        <v>0</v>
      </c>
      <c r="Q51" s="33">
        <v>163581.64131866404</v>
      </c>
      <c r="R51" s="33"/>
      <c r="S51" s="33"/>
      <c r="T51" s="33"/>
      <c r="U51" s="33">
        <f>SUM(T_Fe[[#This Row],[Fund kg]:[Cierros kg]])</f>
        <v>369048.82851866412</v>
      </c>
      <c r="V51" s="22">
        <f>IFERROR(T_Fe[[#This Row],[Fund kg]]/T_Fe[[#This Row],[Superficie m2]],)</f>
        <v>0.18</v>
      </c>
      <c r="W51" s="22">
        <f>IFERROR(T_Fe[[#This Row],[Muros kg]]/T_Fe[[#This Row],[Superficie m2]],)</f>
        <v>10.320000000000002</v>
      </c>
      <c r="X51" s="22">
        <f>IFERROR(T_Fe[[#This Row],[Perimetrales kg]]/T_Fe[[#This Row],[Superficie m2]],)</f>
        <v>2.5999999999999996</v>
      </c>
      <c r="Y51" s="22">
        <f>IFERROR(T_Fe[[#This Row],[Vigas kg]]/T_Fe[[#This Row],[Superficie m2]],)</f>
        <v>2.2599999999999998</v>
      </c>
      <c r="Z51" s="22">
        <f>IFERROR(T_Fe[[#This Row],[Losas kg]]/T_Fe[[#This Row],[Superficie m2]],)</f>
        <v>12.228784775298076</v>
      </c>
      <c r="AA51" s="22">
        <f>IFERROR(T_Fe[[#This Row],[Total kg]]/T_Fe[[#This Row],[Superficie m2]],)</f>
        <v>27.58878477529808</v>
      </c>
    </row>
    <row r="52" spans="1:27" x14ac:dyDescent="0.25">
      <c r="A52" s="30">
        <v>19014</v>
      </c>
      <c r="B52" s="31" t="str" cm="1">
        <f t="array" ref="B52">INDEX(T_Info[],MATCH(T_Fe[[#This Row],[Codigo]],T_Info[Codigo],0),COLUMN(T_Info[Proyecto]))</f>
        <v>San Eugenio</v>
      </c>
      <c r="C52" s="30" t="str" cm="1">
        <f t="array" ref="C52">INDEX(T_Info[],MATCH(T_Fe[[#This Row],[Codigo]],T_Info[Codigo],0),COLUMN(T_Info[T.S]))</f>
        <v>B</v>
      </c>
      <c r="D52" s="30" cm="1">
        <f t="array" ref="D52">INDEX(T_Info[],MATCH(T_Fe[[#This Row],[Codigo]],T_Info[Codigo],0),COLUMN(T_Info[Z.S]))</f>
        <v>2</v>
      </c>
      <c r="E52" s="30" cm="1">
        <f t="array" ref="E52">INDEX(T_Info[],MATCH(T_Fe[[#This Row],[Codigo]],T_Info[Codigo],0),COLUMN(T_Info[Pisos]))</f>
        <v>21</v>
      </c>
      <c r="F52" s="30" cm="1">
        <f t="array" ref="F52">INDEX(T_Info[],MATCH(T_Fe[[#This Row],[Codigo]],T_Info[Codigo],0),COLUMN(T_Info[Subt.]))</f>
        <v>2</v>
      </c>
      <c r="G52" s="32" cm="1">
        <f t="array" ref="G52">INDEX(T_Info[],MATCH(T_Fe[[#This Row],[Codigo]],T_Info[Codigo],0),COLUMN(T_Info[Superficie m2]))</f>
        <v>20840.91</v>
      </c>
      <c r="H52" s="30" t="str" cm="1">
        <f t="array" ref="H52">IF(INDEX(T_Info[],MATCH(T_Fe[[#This Row],[Codigo]],T_Info[Codigo],0),COLUMN(T_Info[Postensado]))&lt;&gt;"",INDEX(T_Info[],MATCH(T_Fe[[#This Row],[Codigo]],T_Info[Codigo],0),COLUMN(T_Info[Postensado])),"")</f>
        <v/>
      </c>
      <c r="I52" s="30" t="str" cm="1">
        <f t="array" ref="I52">IF(INDEX(T_Info[],MATCH(T_Fe[[#This Row],[Codigo]],T_Info[Codigo],0),COLUMN(T_Info[Losa Fundación]))&lt;&gt;"",INDEX(T_Info[],MATCH(T_Fe[[#This Row],[Codigo]],T_Info[Codigo],0),COLUMN(T_Info[Losa Fundación])),"")</f>
        <v/>
      </c>
      <c r="J52" s="33">
        <v>7085.9094000000005</v>
      </c>
      <c r="K52" s="33">
        <v>0</v>
      </c>
      <c r="L52" s="33">
        <v>241546.14689999999</v>
      </c>
      <c r="M52" s="33">
        <v>22508.182800000002</v>
      </c>
      <c r="N52" s="33">
        <v>52519.093200000003</v>
      </c>
      <c r="O52" s="33">
        <v>0</v>
      </c>
      <c r="P52" s="33">
        <v>0</v>
      </c>
      <c r="Q52" s="33">
        <v>283003.81528804608</v>
      </c>
      <c r="R52" s="33"/>
      <c r="S52" s="33"/>
      <c r="T52" s="33"/>
      <c r="U52" s="33">
        <f>SUM(T_Fe[[#This Row],[Fund kg]:[Cierros kg]])</f>
        <v>606663.14758804603</v>
      </c>
      <c r="V52" s="22">
        <f>IFERROR(T_Fe[[#This Row],[Fund kg]]/T_Fe[[#This Row],[Superficie m2]],)</f>
        <v>0.34</v>
      </c>
      <c r="W52" s="22">
        <f>IFERROR(T_Fe[[#This Row],[Muros kg]]/T_Fe[[#This Row],[Superficie m2]],)</f>
        <v>11.59</v>
      </c>
      <c r="X52" s="22">
        <f>IFERROR(T_Fe[[#This Row],[Perimetrales kg]]/T_Fe[[#This Row],[Superficie m2]],)</f>
        <v>1.08</v>
      </c>
      <c r="Y52" s="22">
        <f>IFERROR(T_Fe[[#This Row],[Vigas kg]]/T_Fe[[#This Row],[Superficie m2]],)</f>
        <v>2.52</v>
      </c>
      <c r="Z52" s="22">
        <f>IFERROR(T_Fe[[#This Row],[Losas kg]]/T_Fe[[#This Row],[Superficie m2]],)</f>
        <v>13.57924463413767</v>
      </c>
      <c r="AA52" s="22">
        <f>IFERROR(T_Fe[[#This Row],[Total kg]]/T_Fe[[#This Row],[Superficie m2]],)</f>
        <v>29.109244634137667</v>
      </c>
    </row>
    <row r="53" spans="1:27" x14ac:dyDescent="0.25">
      <c r="A53" s="30">
        <v>19016</v>
      </c>
      <c r="B53" s="31" t="str" cm="1">
        <f t="array" ref="B53">INDEX(T_Info[],MATCH(T_Fe[[#This Row],[Codigo]],T_Info[Codigo],0),COLUMN(T_Info[Proyecto]))</f>
        <v>Juan de Pineda (V0)</v>
      </c>
      <c r="C53" s="30" t="str" cm="1">
        <f t="array" ref="C53">INDEX(T_Info[],MATCH(T_Fe[[#This Row],[Codigo]],T_Info[Codigo],0),COLUMN(T_Info[T.S]))</f>
        <v>C</v>
      </c>
      <c r="D53" s="30" cm="1">
        <f t="array" ref="D53">INDEX(T_Info[],MATCH(T_Fe[[#This Row],[Codigo]],T_Info[Codigo],0),COLUMN(T_Info[Z.S]))</f>
        <v>2</v>
      </c>
      <c r="E53" s="30" cm="1">
        <f t="array" ref="E53">INDEX(T_Info[],MATCH(T_Fe[[#This Row],[Codigo]],T_Info[Codigo],0),COLUMN(T_Info[Pisos]))</f>
        <v>8</v>
      </c>
      <c r="F53" s="30" cm="1">
        <f t="array" ref="F53">INDEX(T_Info[],MATCH(T_Fe[[#This Row],[Codigo]],T_Info[Codigo],0),COLUMN(T_Info[Subt.]))</f>
        <v>1</v>
      </c>
      <c r="G53" s="32" cm="1">
        <f t="array" ref="G53">INDEX(T_Info[],MATCH(T_Fe[[#This Row],[Codigo]],T_Info[Codigo],0),COLUMN(T_Info[Superficie m2]))</f>
        <v>7712.49</v>
      </c>
      <c r="H53" s="30" t="str" cm="1">
        <f t="array" ref="H53">IF(INDEX(T_Info[],MATCH(T_Fe[[#This Row],[Codigo]],T_Info[Codigo],0),COLUMN(T_Info[Postensado]))&lt;&gt;"",INDEX(T_Info[],MATCH(T_Fe[[#This Row],[Codigo]],T_Info[Codigo],0),COLUMN(T_Info[Postensado])),"")</f>
        <v/>
      </c>
      <c r="I53" s="30" t="str" cm="1">
        <f t="array" ref="I53">IF(INDEX(T_Info[],MATCH(T_Fe[[#This Row],[Codigo]],T_Info[Codigo],0),COLUMN(T_Info[Losa Fundación]))&lt;&gt;"",INDEX(T_Info[],MATCH(T_Fe[[#This Row],[Codigo]],T_Info[Codigo],0),COLUMN(T_Info[Losa Fundación])),"")</f>
        <v/>
      </c>
      <c r="J53" s="33">
        <v>6478.4915999999994</v>
      </c>
      <c r="K53" s="33">
        <v>0</v>
      </c>
      <c r="L53" s="33">
        <v>75890.901599999997</v>
      </c>
      <c r="M53" s="33">
        <v>7018.3658999999998</v>
      </c>
      <c r="N53" s="33">
        <v>25142.717399999998</v>
      </c>
      <c r="O53" s="33">
        <v>0</v>
      </c>
      <c r="P53" s="33">
        <v>0</v>
      </c>
      <c r="Q53" s="33">
        <v>95120.250000000015</v>
      </c>
      <c r="R53" s="33"/>
      <c r="S53" s="33"/>
      <c r="T53" s="33"/>
      <c r="U53" s="33">
        <f>SUM(T_Fe[[#This Row],[Fund kg]:[Cierros kg]])</f>
        <v>209650.72649999999</v>
      </c>
      <c r="V53" s="22">
        <f>IFERROR(T_Fe[[#This Row],[Fund kg]]/T_Fe[[#This Row],[Superficie m2]],)</f>
        <v>0.84</v>
      </c>
      <c r="W53" s="22">
        <f>IFERROR(T_Fe[[#This Row],[Muros kg]]/T_Fe[[#This Row],[Superficie m2]],)</f>
        <v>9.84</v>
      </c>
      <c r="X53" s="22">
        <f>IFERROR(T_Fe[[#This Row],[Perimetrales kg]]/T_Fe[[#This Row],[Superficie m2]],)</f>
        <v>0.91</v>
      </c>
      <c r="Y53" s="22">
        <f>IFERROR(T_Fe[[#This Row],[Vigas kg]]/T_Fe[[#This Row],[Superficie m2]],)</f>
        <v>3.26</v>
      </c>
      <c r="Z53" s="22">
        <f>IFERROR(T_Fe[[#This Row],[Losas kg]]/T_Fe[[#This Row],[Superficie m2]],)</f>
        <v>12.333273689820022</v>
      </c>
      <c r="AA53" s="22">
        <f>IFERROR(T_Fe[[#This Row],[Total kg]]/T_Fe[[#This Row],[Superficie m2]],)</f>
        <v>27.18327368982002</v>
      </c>
    </row>
    <row r="54" spans="1:27" x14ac:dyDescent="0.25">
      <c r="A54" s="30">
        <v>19051</v>
      </c>
      <c r="B54" s="31" t="str" cm="1">
        <f t="array" ref="B54">INDEX(T_Info[],MATCH(T_Fe[[#This Row],[Codigo]],T_Info[Codigo],0),COLUMN(T_Info[Proyecto]))</f>
        <v>Santa Amalia</v>
      </c>
      <c r="C54" s="30" t="str" cm="1">
        <f t="array" ref="C54">INDEX(T_Info[],MATCH(T_Fe[[#This Row],[Codigo]],T_Info[Codigo],0),COLUMN(T_Info[T.S]))</f>
        <v>B</v>
      </c>
      <c r="D54" s="30" cm="1">
        <f t="array" ref="D54">INDEX(T_Info[],MATCH(T_Fe[[#This Row],[Codigo]],T_Info[Codigo],0),COLUMN(T_Info[Z.S]))</f>
        <v>2</v>
      </c>
      <c r="E54" s="30" cm="1">
        <f t="array" ref="E54">INDEX(T_Info[],MATCH(T_Fe[[#This Row],[Codigo]],T_Info[Codigo],0),COLUMN(T_Info[Pisos]))</f>
        <v>5</v>
      </c>
      <c r="F54" s="30" cm="1">
        <f t="array" ref="F54">INDEX(T_Info[],MATCH(T_Fe[[#This Row],[Codigo]],T_Info[Codigo],0),COLUMN(T_Info[Subt.]))</f>
        <v>1</v>
      </c>
      <c r="G54" s="32" cm="1">
        <f t="array" ref="G54">INDEX(T_Info[],MATCH(T_Fe[[#This Row],[Codigo]],T_Info[Codigo],0),COLUMN(T_Info[Superficie m2]))</f>
        <v>5015.8999999999996</v>
      </c>
      <c r="H54" s="30" t="str" cm="1">
        <f t="array" ref="H54">IF(INDEX(T_Info[],MATCH(T_Fe[[#This Row],[Codigo]],T_Info[Codigo],0),COLUMN(T_Info[Postensado]))&lt;&gt;"",INDEX(T_Info[],MATCH(T_Fe[[#This Row],[Codigo]],T_Info[Codigo],0),COLUMN(T_Info[Postensado])),"")</f>
        <v/>
      </c>
      <c r="I54" s="30" t="str" cm="1">
        <f t="array" ref="I54">IF(INDEX(T_Info[],MATCH(T_Fe[[#This Row],[Codigo]],T_Info[Codigo],0),COLUMN(T_Info[Losa Fundación]))&lt;&gt;"",INDEX(T_Info[],MATCH(T_Fe[[#This Row],[Codigo]],T_Info[Codigo],0),COLUMN(T_Info[Losa Fundación])),"")</f>
        <v/>
      </c>
      <c r="J54" s="33">
        <v>1805.7239999999997</v>
      </c>
      <c r="K54" s="33">
        <v>0</v>
      </c>
      <c r="L54" s="33">
        <v>47199.618999999999</v>
      </c>
      <c r="M54" s="33">
        <v>13292.134999999998</v>
      </c>
      <c r="N54" s="33">
        <v>20013.440999999999</v>
      </c>
      <c r="O54" s="33">
        <v>0</v>
      </c>
      <c r="P54" s="33">
        <v>0</v>
      </c>
      <c r="Q54" s="33">
        <v>52516.472999999998</v>
      </c>
      <c r="R54" s="33"/>
      <c r="S54" s="33"/>
      <c r="T54" s="33"/>
      <c r="U54" s="33">
        <f>SUM(T_Fe[[#This Row],[Fund kg]:[Cierros kg]])</f>
        <v>134827.39199999999</v>
      </c>
      <c r="V54" s="22">
        <f>IFERROR(T_Fe[[#This Row],[Fund kg]]/T_Fe[[#This Row],[Superficie m2]],)</f>
        <v>0.36</v>
      </c>
      <c r="W54" s="22">
        <f>IFERROR(T_Fe[[#This Row],[Muros kg]]/T_Fe[[#This Row],[Superficie m2]],)</f>
        <v>9.41</v>
      </c>
      <c r="X54" s="22">
        <f>IFERROR(T_Fe[[#This Row],[Perimetrales kg]]/T_Fe[[#This Row],[Superficie m2]],)</f>
        <v>2.65</v>
      </c>
      <c r="Y54" s="22">
        <f>IFERROR(T_Fe[[#This Row],[Vigas kg]]/T_Fe[[#This Row],[Superficie m2]],)</f>
        <v>3.99</v>
      </c>
      <c r="Z54" s="22">
        <f>IFERROR(T_Fe[[#This Row],[Losas kg]]/T_Fe[[#This Row],[Superficie m2]],)</f>
        <v>10.47</v>
      </c>
      <c r="AA54" s="22">
        <f>IFERROR(T_Fe[[#This Row],[Total kg]]/T_Fe[[#This Row],[Superficie m2]],)</f>
        <v>26.88</v>
      </c>
    </row>
    <row r="55" spans="1:27" x14ac:dyDescent="0.25">
      <c r="A55" s="30">
        <v>19058</v>
      </c>
      <c r="B55" s="31" t="str" cm="1">
        <f t="array" ref="B55">INDEX(T_Info[],MATCH(T_Fe[[#This Row],[Codigo]],T_Info[Codigo],0),COLUMN(T_Info[Proyecto]))</f>
        <v>Carmen Fariña</v>
      </c>
      <c r="C55" s="30" t="str" cm="1">
        <f t="array" ref="C55">INDEX(T_Info[],MATCH(T_Fe[[#This Row],[Codigo]],T_Info[Codigo],0),COLUMN(T_Info[T.S]))</f>
        <v>B</v>
      </c>
      <c r="D55" s="30" cm="1">
        <f t="array" ref="D55">INDEX(T_Info[],MATCH(T_Fe[[#This Row],[Codigo]],T_Info[Codigo],0),COLUMN(T_Info[Z.S]))</f>
        <v>2</v>
      </c>
      <c r="E55" s="30" cm="1">
        <f t="array" ref="E55">INDEX(T_Info[],MATCH(T_Fe[[#This Row],[Codigo]],T_Info[Codigo],0),COLUMN(T_Info[Pisos]))</f>
        <v>7</v>
      </c>
      <c r="F55" s="30" cm="1">
        <f t="array" ref="F55">INDEX(T_Info[],MATCH(T_Fe[[#This Row],[Codigo]],T_Info[Codigo],0),COLUMN(T_Info[Subt.]))</f>
        <v>2</v>
      </c>
      <c r="G55" s="32" cm="1">
        <f t="array" ref="G55">INDEX(T_Info[],MATCH(T_Fe[[#This Row],[Codigo]],T_Info[Codigo],0),COLUMN(T_Info[Superficie m2]))</f>
        <v>10586.32</v>
      </c>
      <c r="H55" s="30" t="str" cm="1">
        <f t="array" ref="H55">IF(INDEX(T_Info[],MATCH(T_Fe[[#This Row],[Codigo]],T_Info[Codigo],0),COLUMN(T_Info[Postensado]))&lt;&gt;"",INDEX(T_Info[],MATCH(T_Fe[[#This Row],[Codigo]],T_Info[Codigo],0),COLUMN(T_Info[Postensado])),"")</f>
        <v/>
      </c>
      <c r="I55" s="30" t="str" cm="1">
        <f t="array" ref="I55">IF(INDEX(T_Info[],MATCH(T_Fe[[#This Row],[Codigo]],T_Info[Codigo],0),COLUMN(T_Info[Losa Fundación]))&lt;&gt;"",INDEX(T_Info[],MATCH(T_Fe[[#This Row],[Codigo]],T_Info[Codigo],0),COLUMN(T_Info[Losa Fundación])),"")</f>
        <v/>
      </c>
      <c r="J55" s="33">
        <v>3175.8959999999997</v>
      </c>
      <c r="K55" s="33">
        <v>0</v>
      </c>
      <c r="L55" s="33">
        <v>98346.912799999991</v>
      </c>
      <c r="M55" s="33">
        <v>24348.535999999996</v>
      </c>
      <c r="N55" s="33">
        <v>34828.9928</v>
      </c>
      <c r="O55" s="33">
        <v>0</v>
      </c>
      <c r="P55" s="33">
        <v>0</v>
      </c>
      <c r="Q55" s="33">
        <v>151172.64959999998</v>
      </c>
      <c r="R55" s="33"/>
      <c r="S55" s="33"/>
      <c r="T55" s="33"/>
      <c r="U55" s="33">
        <f>SUM(T_Fe[[#This Row],[Fund kg]:[Cierros kg]])</f>
        <v>311872.98719999997</v>
      </c>
      <c r="V55" s="22">
        <f>IFERROR(T_Fe[[#This Row],[Fund kg]]/T_Fe[[#This Row],[Superficie m2]],)</f>
        <v>0.3</v>
      </c>
      <c r="W55" s="22">
        <f>IFERROR(T_Fe[[#This Row],[Muros kg]]/T_Fe[[#This Row],[Superficie m2]],)</f>
        <v>9.2899999999999991</v>
      </c>
      <c r="X55" s="22">
        <f>IFERROR(T_Fe[[#This Row],[Perimetrales kg]]/T_Fe[[#This Row],[Superficie m2]],)</f>
        <v>2.2999999999999998</v>
      </c>
      <c r="Y55" s="22">
        <f>IFERROR(T_Fe[[#This Row],[Vigas kg]]/T_Fe[[#This Row],[Superficie m2]],)</f>
        <v>3.29</v>
      </c>
      <c r="Z55" s="22">
        <f>IFERROR(T_Fe[[#This Row],[Losas kg]]/T_Fe[[#This Row],[Superficie m2]],)</f>
        <v>14.279999999999998</v>
      </c>
      <c r="AA55" s="22">
        <f>IFERROR(T_Fe[[#This Row],[Total kg]]/T_Fe[[#This Row],[Superficie m2]],)</f>
        <v>29.459999999999997</v>
      </c>
    </row>
    <row r="56" spans="1:27" x14ac:dyDescent="0.25">
      <c r="A56" s="30">
        <v>19068</v>
      </c>
      <c r="B56" s="31" t="str" cm="1">
        <f t="array" ref="B56">INDEX(T_Info[],MATCH(T_Fe[[#This Row],[Codigo]],T_Info[Codigo],0),COLUMN(T_Info[Proyecto]))</f>
        <v>Domingo Faustino S.</v>
      </c>
      <c r="C56" s="30" t="str" cm="1">
        <f t="array" ref="C56">INDEX(T_Info[],MATCH(T_Fe[[#This Row],[Codigo]],T_Info[Codigo],0),COLUMN(T_Info[T.S]))</f>
        <v>B</v>
      </c>
      <c r="D56" s="30" cm="1">
        <f t="array" ref="D56">INDEX(T_Info[],MATCH(T_Fe[[#This Row],[Codigo]],T_Info[Codigo],0),COLUMN(T_Info[Z.S]))</f>
        <v>2</v>
      </c>
      <c r="E56" s="30" cm="1">
        <f t="array" ref="E56">INDEX(T_Info[],MATCH(T_Fe[[#This Row],[Codigo]],T_Info[Codigo],0),COLUMN(T_Info[Pisos]))</f>
        <v>15</v>
      </c>
      <c r="F56" s="30" cm="1">
        <f t="array" ref="F56">INDEX(T_Info[],MATCH(T_Fe[[#This Row],[Codigo]],T_Info[Codigo],0),COLUMN(T_Info[Subt.]))</f>
        <v>4</v>
      </c>
      <c r="G56" s="32" cm="1">
        <f t="array" ref="G56">INDEX(T_Info[],MATCH(T_Fe[[#This Row],[Codigo]],T_Info[Codigo],0),COLUMN(T_Info[Superficie m2]))</f>
        <v>11699.02</v>
      </c>
      <c r="H56" s="30" t="str" cm="1">
        <f t="array" ref="H56">IF(INDEX(T_Info[],MATCH(T_Fe[[#This Row],[Codigo]],T_Info[Codigo],0),COLUMN(T_Info[Postensado]))&lt;&gt;"",INDEX(T_Info[],MATCH(T_Fe[[#This Row],[Codigo]],T_Info[Codigo],0),COLUMN(T_Info[Postensado])),"")</f>
        <v/>
      </c>
      <c r="I56" s="30" t="str" cm="1">
        <f t="array" ref="I56">IF(INDEX(T_Info[],MATCH(T_Fe[[#This Row],[Codigo]],T_Info[Codigo],0),COLUMN(T_Info[Losa Fundación]))&lt;&gt;"",INDEX(T_Info[],MATCH(T_Fe[[#This Row],[Codigo]],T_Info[Codigo],0),COLUMN(T_Info[Losa Fundación])),"")</f>
        <v/>
      </c>
      <c r="J56" s="33">
        <v>2339.8040000000001</v>
      </c>
      <c r="K56" s="33">
        <v>0</v>
      </c>
      <c r="L56" s="33">
        <v>151268.32860000001</v>
      </c>
      <c r="M56" s="33">
        <v>31821.334400000003</v>
      </c>
      <c r="N56" s="33">
        <v>23749.010599999998</v>
      </c>
      <c r="O56" s="33">
        <v>0</v>
      </c>
      <c r="P56" s="33">
        <v>0</v>
      </c>
      <c r="Q56" s="33">
        <v>147641.6324</v>
      </c>
      <c r="R56" s="33"/>
      <c r="S56" s="33"/>
      <c r="T56" s="33"/>
      <c r="U56" s="33">
        <f>SUM(T_Fe[[#This Row],[Fund kg]:[Cierros kg]])</f>
        <v>356820.11</v>
      </c>
      <c r="V56" s="22">
        <f>IFERROR(T_Fe[[#This Row],[Fund kg]]/T_Fe[[#This Row],[Superficie m2]],)</f>
        <v>0.2</v>
      </c>
      <c r="W56" s="22">
        <f>IFERROR(T_Fe[[#This Row],[Muros kg]]/T_Fe[[#This Row],[Superficie m2]],)</f>
        <v>12.93</v>
      </c>
      <c r="X56" s="22">
        <f>IFERROR(T_Fe[[#This Row],[Perimetrales kg]]/T_Fe[[#This Row],[Superficie m2]],)</f>
        <v>2.72</v>
      </c>
      <c r="Y56" s="22">
        <f>IFERROR(T_Fe[[#This Row],[Vigas kg]]/T_Fe[[#This Row],[Superficie m2]],)</f>
        <v>2.0299999999999998</v>
      </c>
      <c r="Z56" s="22">
        <f>IFERROR(T_Fe[[#This Row],[Losas kg]]/T_Fe[[#This Row],[Superficie m2]],)</f>
        <v>12.62</v>
      </c>
      <c r="AA56" s="22">
        <f>IFERROR(T_Fe[[#This Row],[Total kg]]/T_Fe[[#This Row],[Superficie m2]],)</f>
        <v>30.499999999999996</v>
      </c>
    </row>
    <row r="57" spans="1:27" x14ac:dyDescent="0.25">
      <c r="A57" s="30">
        <v>19078</v>
      </c>
      <c r="B57" s="31" t="str" cm="1">
        <f t="array" ref="B57">INDEX(T_Info[],MATCH(T_Fe[[#This Row],[Codigo]],T_Info[Codigo],0),COLUMN(T_Info[Proyecto]))</f>
        <v>Las Lilas Habitacional</v>
      </c>
      <c r="C57" s="30" t="str" cm="1">
        <f t="array" ref="C57">INDEX(T_Info[],MATCH(T_Fe[[#This Row],[Codigo]],T_Info[Codigo],0),COLUMN(T_Info[T.S]))</f>
        <v>B</v>
      </c>
      <c r="D57" s="30" cm="1">
        <f t="array" ref="D57">INDEX(T_Info[],MATCH(T_Fe[[#This Row],[Codigo]],T_Info[Codigo],0),COLUMN(T_Info[Z.S]))</f>
        <v>2</v>
      </c>
      <c r="E57" s="30" cm="1">
        <f t="array" ref="E57">INDEX(T_Info[],MATCH(T_Fe[[#This Row],[Codigo]],T_Info[Codigo],0),COLUMN(T_Info[Pisos]))</f>
        <v>12</v>
      </c>
      <c r="F57" s="30" cm="1">
        <f t="array" ref="F57">INDEX(T_Info[],MATCH(T_Fe[[#This Row],[Codigo]],T_Info[Codigo],0),COLUMN(T_Info[Subt.]))</f>
        <v>2</v>
      </c>
      <c r="G57" s="32" cm="1">
        <f t="array" ref="G57">INDEX(T_Info[],MATCH(T_Fe[[#This Row],[Codigo]],T_Info[Codigo],0),COLUMN(T_Info[Superficie m2]))</f>
        <v>21858</v>
      </c>
      <c r="H57" s="30" t="str" cm="1">
        <f t="array" ref="H57">IF(INDEX(T_Info[],MATCH(T_Fe[[#This Row],[Codigo]],T_Info[Codigo],0),COLUMN(T_Info[Postensado]))&lt;&gt;"",INDEX(T_Info[],MATCH(T_Fe[[#This Row],[Codigo]],T_Info[Codigo],0),COLUMN(T_Info[Postensado])),"")</f>
        <v/>
      </c>
      <c r="I57" s="30" t="str" cm="1">
        <f t="array" ref="I57">IF(INDEX(T_Info[],MATCH(T_Fe[[#This Row],[Codigo]],T_Info[Codigo],0),COLUMN(T_Info[Losa Fundación]))&lt;&gt;"",INDEX(T_Info[],MATCH(T_Fe[[#This Row],[Codigo]],T_Info[Codigo],0),COLUMN(T_Info[Losa Fundación])),"")</f>
        <v/>
      </c>
      <c r="J57" s="33">
        <v>12021.900000000001</v>
      </c>
      <c r="K57" s="33">
        <v>0</v>
      </c>
      <c r="L57" s="33">
        <v>228416.09999999998</v>
      </c>
      <c r="M57" s="33">
        <v>38251.5</v>
      </c>
      <c r="N57" s="33">
        <v>44808.899999999994</v>
      </c>
      <c r="O57" s="33">
        <v>0</v>
      </c>
      <c r="P57" s="33">
        <v>0</v>
      </c>
      <c r="Q57" s="33">
        <v>317815.32</v>
      </c>
      <c r="R57" s="33"/>
      <c r="S57" s="33"/>
      <c r="T57" s="33"/>
      <c r="U57" s="33">
        <f>SUM(T_Fe[[#This Row],[Fund kg]:[Cierros kg]])</f>
        <v>641313.72</v>
      </c>
      <c r="V57" s="22">
        <f>IFERROR(T_Fe[[#This Row],[Fund kg]]/T_Fe[[#This Row],[Superficie m2]],)</f>
        <v>0.55000000000000004</v>
      </c>
      <c r="W57" s="22">
        <f>IFERROR(T_Fe[[#This Row],[Muros kg]]/T_Fe[[#This Row],[Superficie m2]],)</f>
        <v>10.45</v>
      </c>
      <c r="X57" s="22">
        <f>IFERROR(T_Fe[[#This Row],[Perimetrales kg]]/T_Fe[[#This Row],[Superficie m2]],)</f>
        <v>1.75</v>
      </c>
      <c r="Y57" s="22">
        <f>IFERROR(T_Fe[[#This Row],[Vigas kg]]/T_Fe[[#This Row],[Superficie m2]],)</f>
        <v>2.0499999999999998</v>
      </c>
      <c r="Z57" s="22">
        <f>IFERROR(T_Fe[[#This Row],[Losas kg]]/T_Fe[[#This Row],[Superficie m2]],)</f>
        <v>14.540000000000001</v>
      </c>
      <c r="AA57" s="22">
        <f>IFERROR(T_Fe[[#This Row],[Total kg]]/T_Fe[[#This Row],[Superficie m2]],)</f>
        <v>29.34</v>
      </c>
    </row>
    <row r="58" spans="1:27" x14ac:dyDescent="0.25">
      <c r="A58" s="30">
        <v>19079</v>
      </c>
      <c r="B58" s="31" t="str" cm="1">
        <f t="array" ref="B58">INDEX(T_Info[],MATCH(T_Fe[[#This Row],[Codigo]],T_Info[Codigo],0),COLUMN(T_Info[Proyecto]))</f>
        <v>Las Lilas Oficinas</v>
      </c>
      <c r="C58" s="30" t="str" cm="1">
        <f t="array" ref="C58">INDEX(T_Info[],MATCH(T_Fe[[#This Row],[Codigo]],T_Info[Codigo],0),COLUMN(T_Info[T.S]))</f>
        <v>B</v>
      </c>
      <c r="D58" s="30" cm="1">
        <f t="array" ref="D58">INDEX(T_Info[],MATCH(T_Fe[[#This Row],[Codigo]],T_Info[Codigo],0),COLUMN(T_Info[Z.S]))</f>
        <v>2</v>
      </c>
      <c r="E58" s="30" cm="1">
        <f t="array" ref="E58">INDEX(T_Info[],MATCH(T_Fe[[#This Row],[Codigo]],T_Info[Codigo],0),COLUMN(T_Info[Pisos]))</f>
        <v>10</v>
      </c>
      <c r="F58" s="30" cm="1">
        <f t="array" ref="F58">INDEX(T_Info[],MATCH(T_Fe[[#This Row],[Codigo]],T_Info[Codigo],0),COLUMN(T_Info[Subt.]))</f>
        <v>3</v>
      </c>
      <c r="G58" s="32" cm="1">
        <f t="array" ref="G58">INDEX(T_Info[],MATCH(T_Fe[[#This Row],[Codigo]],T_Info[Codigo],0),COLUMN(T_Info[Superficie m2]))</f>
        <v>12291.44</v>
      </c>
      <c r="H58" s="30" t="str" cm="1">
        <f t="array" ref="H58">IF(INDEX(T_Info[],MATCH(T_Fe[[#This Row],[Codigo]],T_Info[Codigo],0),COLUMN(T_Info[Postensado]))&lt;&gt;"",INDEX(T_Info[],MATCH(T_Fe[[#This Row],[Codigo]],T_Info[Codigo],0),COLUMN(T_Info[Postensado])),"")</f>
        <v/>
      </c>
      <c r="I58" s="30" t="str" cm="1">
        <f t="array" ref="I58">IF(INDEX(T_Info[],MATCH(T_Fe[[#This Row],[Codigo]],T_Info[Codigo],0),COLUMN(T_Info[Losa Fundación]))&lt;&gt;"",INDEX(T_Info[],MATCH(T_Fe[[#This Row],[Codigo]],T_Info[Codigo],0),COLUMN(T_Info[Losa Fundación])),"")</f>
        <v/>
      </c>
      <c r="J58" s="33">
        <v>18437.16</v>
      </c>
      <c r="K58" s="33">
        <v>0</v>
      </c>
      <c r="L58" s="33">
        <v>152168.02720000001</v>
      </c>
      <c r="M58" s="33">
        <v>30482.771200000003</v>
      </c>
      <c r="N58" s="33">
        <v>57892.682400000005</v>
      </c>
      <c r="O58" s="33">
        <v>0</v>
      </c>
      <c r="P58" s="33">
        <v>0</v>
      </c>
      <c r="Q58" s="33">
        <v>160526.20640000002</v>
      </c>
      <c r="R58" s="33"/>
      <c r="S58" s="33"/>
      <c r="T58" s="33"/>
      <c r="U58" s="33">
        <f>SUM(T_Fe[[#This Row],[Fund kg]:[Cierros kg]])</f>
        <v>419506.84720000002</v>
      </c>
      <c r="V58" s="22">
        <f>IFERROR(T_Fe[[#This Row],[Fund kg]]/T_Fe[[#This Row],[Superficie m2]],)</f>
        <v>1.5</v>
      </c>
      <c r="W58" s="22">
        <f>IFERROR(T_Fe[[#This Row],[Muros kg]]/T_Fe[[#This Row],[Superficie m2]],)</f>
        <v>12.38</v>
      </c>
      <c r="X58" s="22">
        <f>IFERROR(T_Fe[[#This Row],[Perimetrales kg]]/T_Fe[[#This Row],[Superficie m2]],)</f>
        <v>2.48</v>
      </c>
      <c r="Y58" s="22">
        <f>IFERROR(T_Fe[[#This Row],[Vigas kg]]/T_Fe[[#This Row],[Superficie m2]],)</f>
        <v>4.71</v>
      </c>
      <c r="Z58" s="22">
        <f>IFERROR(T_Fe[[#This Row],[Losas kg]]/T_Fe[[#This Row],[Superficie m2]],)</f>
        <v>13.060000000000002</v>
      </c>
      <c r="AA58" s="22">
        <f>IFERROR(T_Fe[[#This Row],[Total kg]]/T_Fe[[#This Row],[Superficie m2]],)</f>
        <v>34.130000000000003</v>
      </c>
    </row>
    <row r="59" spans="1:27" x14ac:dyDescent="0.25">
      <c r="A59" s="30">
        <v>19080</v>
      </c>
      <c r="B59" s="31" t="str" cm="1">
        <f t="array" ref="B59">INDEX(T_Info[],MATCH(T_Fe[[#This Row],[Codigo]],T_Info[Codigo],0),COLUMN(T_Info[Proyecto]))</f>
        <v>Vista Costanera Torre A</v>
      </c>
      <c r="C59" s="30" t="str" cm="1">
        <f t="array" ref="C59">INDEX(T_Info[],MATCH(T_Fe[[#This Row],[Codigo]],T_Info[Codigo],0),COLUMN(T_Info[T.S]))</f>
        <v>B</v>
      </c>
      <c r="D59" s="30" cm="1">
        <f t="array" ref="D59">INDEX(T_Info[],MATCH(T_Fe[[#This Row],[Codigo]],T_Info[Codigo],0),COLUMN(T_Info[Z.S]))</f>
        <v>2</v>
      </c>
      <c r="E59" s="30" cm="1">
        <f t="array" ref="E59">INDEX(T_Info[],MATCH(T_Fe[[#This Row],[Codigo]],T_Info[Codigo],0),COLUMN(T_Info[Pisos]))</f>
        <v>10</v>
      </c>
      <c r="F59" s="30" cm="1">
        <f t="array" ref="F59">INDEX(T_Info[],MATCH(T_Fe[[#This Row],[Codigo]],T_Info[Codigo],0),COLUMN(T_Info[Subt.]))</f>
        <v>1</v>
      </c>
      <c r="G59" s="32" cm="1">
        <f t="array" ref="G59">INDEX(T_Info[],MATCH(T_Fe[[#This Row],[Codigo]],T_Info[Codigo],0),COLUMN(T_Info[Superficie m2]))</f>
        <v>9977.68</v>
      </c>
      <c r="H59" s="30" t="str" cm="1">
        <f t="array" ref="H59">IF(INDEX(T_Info[],MATCH(T_Fe[[#This Row],[Codigo]],T_Info[Codigo],0),COLUMN(T_Info[Postensado]))&lt;&gt;"",INDEX(T_Info[],MATCH(T_Fe[[#This Row],[Codigo]],T_Info[Codigo],0),COLUMN(T_Info[Postensado])),"")</f>
        <v/>
      </c>
      <c r="I59" s="30" t="str" cm="1">
        <f t="array" ref="I59">IF(INDEX(T_Info[],MATCH(T_Fe[[#This Row],[Codigo]],T_Info[Codigo],0),COLUMN(T_Info[Losa Fundación]))&lt;&gt;"",INDEX(T_Info[],MATCH(T_Fe[[#This Row],[Codigo]],T_Info[Codigo],0),COLUMN(T_Info[Losa Fundación])),"")</f>
        <v/>
      </c>
      <c r="J59" s="33">
        <v>4390.1792000000005</v>
      </c>
      <c r="K59" s="33">
        <v>0</v>
      </c>
      <c r="L59" s="33">
        <v>79621.886400000003</v>
      </c>
      <c r="M59" s="33">
        <v>17760.270400000001</v>
      </c>
      <c r="N59" s="33">
        <v>19656.029600000002</v>
      </c>
      <c r="O59" s="33">
        <v>0</v>
      </c>
      <c r="P59" s="33">
        <v>0</v>
      </c>
      <c r="Q59" s="33">
        <v>128911.6256</v>
      </c>
      <c r="R59" s="33"/>
      <c r="S59" s="33"/>
      <c r="T59" s="33"/>
      <c r="U59" s="33">
        <f>SUM(T_Fe[[#This Row],[Fund kg]:[Cierros kg]])</f>
        <v>250339.99120000002</v>
      </c>
      <c r="V59" s="22">
        <f>IFERROR(T_Fe[[#This Row],[Fund kg]]/T_Fe[[#This Row],[Superficie m2]],)</f>
        <v>0.44000000000000006</v>
      </c>
      <c r="W59" s="22">
        <f>IFERROR(T_Fe[[#This Row],[Muros kg]]/T_Fe[[#This Row],[Superficie m2]],)</f>
        <v>7.98</v>
      </c>
      <c r="X59" s="22">
        <f>IFERROR(T_Fe[[#This Row],[Perimetrales kg]]/T_Fe[[#This Row],[Superficie m2]],)</f>
        <v>1.78</v>
      </c>
      <c r="Y59" s="22">
        <f>IFERROR(T_Fe[[#This Row],[Vigas kg]]/T_Fe[[#This Row],[Superficie m2]],)</f>
        <v>1.9700000000000002</v>
      </c>
      <c r="Z59" s="22">
        <f>IFERROR(T_Fe[[#This Row],[Losas kg]]/T_Fe[[#This Row],[Superficie m2]],)</f>
        <v>12.92</v>
      </c>
      <c r="AA59" s="22">
        <f>IFERROR(T_Fe[[#This Row],[Total kg]]/T_Fe[[#This Row],[Superficie m2]],)</f>
        <v>25.09</v>
      </c>
    </row>
    <row r="60" spans="1:27" x14ac:dyDescent="0.25">
      <c r="A60" s="30">
        <v>20011</v>
      </c>
      <c r="B60" s="31" t="str" cm="1">
        <f t="array" ref="B60">INDEX(T_Info[],MATCH(T_Fe[[#This Row],[Codigo]],T_Info[Codigo],0),COLUMN(T_Info[Proyecto]))</f>
        <v>Padre Le Paige Torre B</v>
      </c>
      <c r="C60" s="30" t="str" cm="1">
        <f t="array" ref="C60">INDEX(T_Info[],MATCH(T_Fe[[#This Row],[Codigo]],T_Info[Codigo],0),COLUMN(T_Info[T.S]))</f>
        <v>C</v>
      </c>
      <c r="D60" s="30" cm="1">
        <f t="array" ref="D60">INDEX(T_Info[],MATCH(T_Fe[[#This Row],[Codigo]],T_Info[Codigo],0),COLUMN(T_Info[Z.S]))</f>
        <v>2</v>
      </c>
      <c r="E60" s="30" cm="1">
        <f t="array" ref="E60">INDEX(T_Info[],MATCH(T_Fe[[#This Row],[Codigo]],T_Info[Codigo],0),COLUMN(T_Info[Pisos]))</f>
        <v>11</v>
      </c>
      <c r="F60" s="30" cm="1">
        <f t="array" ref="F60">INDEX(T_Info[],MATCH(T_Fe[[#This Row],[Codigo]],T_Info[Codigo],0),COLUMN(T_Info[Subt.]))</f>
        <v>1</v>
      </c>
      <c r="G60" s="32" cm="1">
        <f t="array" ref="G60">INDEX(T_Info[],MATCH(T_Fe[[#This Row],[Codigo]],T_Info[Codigo],0),COLUMN(T_Info[Superficie m2]))</f>
        <v>15217.59</v>
      </c>
      <c r="H60" s="30" t="str" cm="1">
        <f t="array" ref="H60">IF(INDEX(T_Info[],MATCH(T_Fe[[#This Row],[Codigo]],T_Info[Codigo],0),COLUMN(T_Info[Postensado]))&lt;&gt;"",INDEX(T_Info[],MATCH(T_Fe[[#This Row],[Codigo]],T_Info[Codigo],0),COLUMN(T_Info[Postensado])),"")</f>
        <v/>
      </c>
      <c r="I60" s="30" t="str" cm="1">
        <f t="array" ref="I60">IF(INDEX(T_Info[],MATCH(T_Fe[[#This Row],[Codigo]],T_Info[Codigo],0),COLUMN(T_Info[Losa Fundación]))&lt;&gt;"",INDEX(T_Info[],MATCH(T_Fe[[#This Row],[Codigo]],T_Info[Codigo],0),COLUMN(T_Info[Losa Fundación])),"")</f>
        <v>Si</v>
      </c>
      <c r="J60" s="33">
        <v>64826.933399999994</v>
      </c>
      <c r="K60" s="33">
        <v>0</v>
      </c>
      <c r="L60" s="33">
        <v>176219.69219999999</v>
      </c>
      <c r="M60" s="33">
        <v>30130.8282</v>
      </c>
      <c r="N60" s="33">
        <v>45804.945899999999</v>
      </c>
      <c r="O60" s="33">
        <v>0</v>
      </c>
      <c r="P60" s="33">
        <v>0</v>
      </c>
      <c r="Q60" s="33">
        <v>229329.08130000002</v>
      </c>
      <c r="R60" s="33"/>
      <c r="S60" s="33"/>
      <c r="T60" s="33"/>
      <c r="U60" s="33">
        <f>SUM(T_Fe[[#This Row],[Fund kg]:[Cierros kg]])</f>
        <v>546311.48099999991</v>
      </c>
      <c r="V60" s="22">
        <f>IFERROR(T_Fe[[#This Row],[Fund kg]]/T_Fe[[#This Row],[Superficie m2]],)</f>
        <v>4.26</v>
      </c>
      <c r="W60" s="22">
        <f>IFERROR(T_Fe[[#This Row],[Muros kg]]/T_Fe[[#This Row],[Superficie m2]],)</f>
        <v>11.58</v>
      </c>
      <c r="X60" s="22">
        <f>IFERROR(T_Fe[[#This Row],[Perimetrales kg]]/T_Fe[[#This Row],[Superficie m2]],)</f>
        <v>1.98</v>
      </c>
      <c r="Y60" s="22">
        <f>IFERROR(T_Fe[[#This Row],[Vigas kg]]/T_Fe[[#This Row],[Superficie m2]],)</f>
        <v>3.01</v>
      </c>
      <c r="Z60" s="22">
        <f>IFERROR(T_Fe[[#This Row],[Losas kg]]/T_Fe[[#This Row],[Superficie m2]],)</f>
        <v>15.07</v>
      </c>
      <c r="AA60" s="22">
        <f>IFERROR(T_Fe[[#This Row],[Total kg]]/T_Fe[[#This Row],[Superficie m2]],)</f>
        <v>35.899999999999991</v>
      </c>
    </row>
    <row r="61" spans="1:27" x14ac:dyDescent="0.25">
      <c r="A61" s="30">
        <v>19028</v>
      </c>
      <c r="B61" s="31" t="str" cm="1">
        <f t="array" ref="B61">INDEX(T_Info[],MATCH(T_Fe[[#This Row],[Codigo]],T_Info[Codigo],0),COLUMN(T_Info[Proyecto]))</f>
        <v>Edificio Franklin Torre A</v>
      </c>
      <c r="C61" s="30" t="str" cm="1">
        <f t="array" ref="C61">INDEX(T_Info[],MATCH(T_Fe[[#This Row],[Codigo]],T_Info[Codigo],0),COLUMN(T_Info[T.S]))</f>
        <v>C</v>
      </c>
      <c r="D61" s="30" cm="1">
        <f t="array" ref="D61">INDEX(T_Info[],MATCH(T_Fe[[#This Row],[Codigo]],T_Info[Codigo],0),COLUMN(T_Info[Z.S]))</f>
        <v>2</v>
      </c>
      <c r="E61" s="30" cm="1">
        <f t="array" ref="E61">INDEX(T_Info[],MATCH(T_Fe[[#This Row],[Codigo]],T_Info[Codigo],0),COLUMN(T_Info[Pisos]))</f>
        <v>19</v>
      </c>
      <c r="F61" s="30" cm="1">
        <f t="array" ref="F61">INDEX(T_Info[],MATCH(T_Fe[[#This Row],[Codigo]],T_Info[Codigo],0),COLUMN(T_Info[Subt.]))</f>
        <v>3</v>
      </c>
      <c r="G61" s="32" cm="1">
        <f t="array" ref="G61">INDEX(T_Info[],MATCH(T_Fe[[#This Row],[Codigo]],T_Info[Codigo],0),COLUMN(T_Info[Superficie m2]))</f>
        <v>19464.099999999999</v>
      </c>
      <c r="H61" s="30" t="str" cm="1">
        <f t="array" ref="H61">IF(INDEX(T_Info[],MATCH(T_Fe[[#This Row],[Codigo]],T_Info[Codigo],0),COLUMN(T_Info[Postensado]))&lt;&gt;"",INDEX(T_Info[],MATCH(T_Fe[[#This Row],[Codigo]],T_Info[Codigo],0),COLUMN(T_Info[Postensado])),"")</f>
        <v/>
      </c>
      <c r="I61" s="30" t="str" cm="1">
        <f t="array" ref="I61">IF(INDEX(T_Info[],MATCH(T_Fe[[#This Row],[Codigo]],T_Info[Codigo],0),COLUMN(T_Info[Losa Fundación]))&lt;&gt;"",INDEX(T_Info[],MATCH(T_Fe[[#This Row],[Codigo]],T_Info[Codigo],0),COLUMN(T_Info[Losa Fundación])),"")</f>
        <v/>
      </c>
      <c r="J61" s="33">
        <v>28417.585999999996</v>
      </c>
      <c r="K61" s="33">
        <v>0</v>
      </c>
      <c r="L61" s="33">
        <v>254201.14599999998</v>
      </c>
      <c r="M61" s="33">
        <v>46324.557999999997</v>
      </c>
      <c r="N61" s="33">
        <v>58197.659</v>
      </c>
      <c r="O61" s="33">
        <v>0</v>
      </c>
      <c r="P61" s="33">
        <v>0</v>
      </c>
      <c r="Q61" s="33">
        <v>273665.24599999998</v>
      </c>
      <c r="R61" s="33"/>
      <c r="S61" s="33"/>
      <c r="T61" s="33"/>
      <c r="U61" s="33">
        <f>SUM(T_Fe[[#This Row],[Fund kg]:[Cierros kg]])</f>
        <v>660806.19499999995</v>
      </c>
      <c r="V61" s="22">
        <f>IFERROR(T_Fe[[#This Row],[Fund kg]]/T_Fe[[#This Row],[Superficie m2]],)</f>
        <v>1.46</v>
      </c>
      <c r="W61" s="22">
        <f>IFERROR(T_Fe[[#This Row],[Muros kg]]/T_Fe[[#This Row],[Superficie m2]],)</f>
        <v>13.06</v>
      </c>
      <c r="X61" s="22">
        <f>IFERROR(T_Fe[[#This Row],[Perimetrales kg]]/T_Fe[[#This Row],[Superficie m2]],)</f>
        <v>2.38</v>
      </c>
      <c r="Y61" s="22">
        <f>IFERROR(T_Fe[[#This Row],[Vigas kg]]/T_Fe[[#This Row],[Superficie m2]],)</f>
        <v>2.99</v>
      </c>
      <c r="Z61" s="22">
        <f>IFERROR(T_Fe[[#This Row],[Losas kg]]/T_Fe[[#This Row],[Superficie m2]],)</f>
        <v>14.06</v>
      </c>
      <c r="AA61" s="22">
        <f>IFERROR(T_Fe[[#This Row],[Total kg]]/T_Fe[[#This Row],[Superficie m2]],)</f>
        <v>33.950000000000003</v>
      </c>
    </row>
    <row r="62" spans="1:27" x14ac:dyDescent="0.25">
      <c r="A62" s="30">
        <v>20018</v>
      </c>
      <c r="B62" s="31" t="str" cm="1">
        <f t="array" ref="B62">INDEX(T_Info[],MATCH(T_Fe[[#This Row],[Codigo]],T_Info[Codigo],0),COLUMN(T_Info[Proyecto]))</f>
        <v>Montemar</v>
      </c>
      <c r="C62" s="30" t="str" cm="1">
        <f t="array" ref="C62">INDEX(T_Info[],MATCH(T_Fe[[#This Row],[Codigo]],T_Info[Codigo],0),COLUMN(T_Info[T.S]))</f>
        <v>C</v>
      </c>
      <c r="D62" s="30" cm="1">
        <f t="array" ref="D62">INDEX(T_Info[],MATCH(T_Fe[[#This Row],[Codigo]],T_Info[Codigo],0),COLUMN(T_Info[Z.S]))</f>
        <v>3</v>
      </c>
      <c r="E62" s="30" cm="1">
        <f t="array" ref="E62">INDEX(T_Info[],MATCH(T_Fe[[#This Row],[Codigo]],T_Info[Codigo],0),COLUMN(T_Info[Pisos]))</f>
        <v>20</v>
      </c>
      <c r="F62" s="30" cm="1">
        <f t="array" ref="F62">INDEX(T_Info[],MATCH(T_Fe[[#This Row],[Codigo]],T_Info[Codigo],0),COLUMN(T_Info[Subt.]))</f>
        <v>2</v>
      </c>
      <c r="G62" s="32" cm="1">
        <f t="array" ref="G62">INDEX(T_Info[],MATCH(T_Fe[[#This Row],[Codigo]],T_Info[Codigo],0),COLUMN(T_Info[Superficie m2]))</f>
        <v>21702.18</v>
      </c>
      <c r="H62" s="30" t="str" cm="1">
        <f t="array" ref="H62">IF(INDEX(T_Info[],MATCH(T_Fe[[#This Row],[Codigo]],T_Info[Codigo],0),COLUMN(T_Info[Postensado]))&lt;&gt;"",INDEX(T_Info[],MATCH(T_Fe[[#This Row],[Codigo]],T_Info[Codigo],0),COLUMN(T_Info[Postensado])),"")</f>
        <v/>
      </c>
      <c r="I62" s="30" t="str" cm="1">
        <f t="array" ref="I62">IF(INDEX(T_Info[],MATCH(T_Fe[[#This Row],[Codigo]],T_Info[Codigo],0),COLUMN(T_Info[Losa Fundación]))&lt;&gt;"",INDEX(T_Info[],MATCH(T_Fe[[#This Row],[Codigo]],T_Info[Codigo],0),COLUMN(T_Info[Losa Fundación])),"")</f>
        <v/>
      </c>
      <c r="J62" s="33">
        <v>67276.758000000002</v>
      </c>
      <c r="K62" s="33">
        <v>0</v>
      </c>
      <c r="L62" s="33">
        <v>322494.39480000001</v>
      </c>
      <c r="M62" s="33">
        <v>27344.746800000001</v>
      </c>
      <c r="N62" s="33">
        <v>62719.300200000005</v>
      </c>
      <c r="O62" s="33">
        <v>0</v>
      </c>
      <c r="P62" s="33">
        <v>0</v>
      </c>
      <c r="Q62" s="33">
        <v>289724.103</v>
      </c>
      <c r="R62" s="33"/>
      <c r="S62" s="33"/>
      <c r="T62" s="33"/>
      <c r="U62" s="33">
        <f>SUM(T_Fe[[#This Row],[Fund kg]:[Cierros kg]])</f>
        <v>769559.30280000006</v>
      </c>
      <c r="V62" s="22">
        <f>IFERROR(T_Fe[[#This Row],[Fund kg]]/T_Fe[[#This Row],[Superficie m2]],)</f>
        <v>3.1</v>
      </c>
      <c r="W62" s="22">
        <f>IFERROR(T_Fe[[#This Row],[Muros kg]]/T_Fe[[#This Row],[Superficie m2]],)</f>
        <v>14.86</v>
      </c>
      <c r="X62" s="22">
        <f>IFERROR(T_Fe[[#This Row],[Perimetrales kg]]/T_Fe[[#This Row],[Superficie m2]],)</f>
        <v>1.26</v>
      </c>
      <c r="Y62" s="22">
        <f>IFERROR(T_Fe[[#This Row],[Vigas kg]]/T_Fe[[#This Row],[Superficie m2]],)</f>
        <v>2.89</v>
      </c>
      <c r="Z62" s="22">
        <f>IFERROR(T_Fe[[#This Row],[Losas kg]]/T_Fe[[#This Row],[Superficie m2]],)</f>
        <v>13.35</v>
      </c>
      <c r="AA62" s="22">
        <f>IFERROR(T_Fe[[#This Row],[Total kg]]/T_Fe[[#This Row],[Superficie m2]],)</f>
        <v>35.46</v>
      </c>
    </row>
    <row r="63" spans="1:27" x14ac:dyDescent="0.25">
      <c r="A63" s="30">
        <v>20020</v>
      </c>
      <c r="B63" s="31" t="str" cm="1">
        <f t="array" ref="B63">INDEX(T_Info[],MATCH(T_Fe[[#This Row],[Codigo]],T_Info[Codigo],0),COLUMN(T_Info[Proyecto]))</f>
        <v>Alderete Torre A</v>
      </c>
      <c r="C63" s="30" t="str" cm="1">
        <f t="array" ref="C63">INDEX(T_Info[],MATCH(T_Fe[[#This Row],[Codigo]],T_Info[Codigo],0),COLUMN(T_Info[T.S]))</f>
        <v>B</v>
      </c>
      <c r="D63" s="30" cm="1">
        <f t="array" ref="D63">INDEX(T_Info[],MATCH(T_Fe[[#This Row],[Codigo]],T_Info[Codigo],0),COLUMN(T_Info[Z.S]))</f>
        <v>2</v>
      </c>
      <c r="E63" s="30" cm="1">
        <f t="array" ref="E63">INDEX(T_Info[],MATCH(T_Fe[[#This Row],[Codigo]],T_Info[Codigo],0),COLUMN(T_Info[Pisos]))</f>
        <v>11</v>
      </c>
      <c r="F63" s="30" cm="1">
        <f t="array" ref="F63">INDEX(T_Info[],MATCH(T_Fe[[#This Row],[Codigo]],T_Info[Codigo],0),COLUMN(T_Info[Subt.]))</f>
        <v>2</v>
      </c>
      <c r="G63" s="32" cm="1">
        <f t="array" ref="G63">INDEX(T_Info[],MATCH(T_Fe[[#This Row],[Codigo]],T_Info[Codigo],0),COLUMN(T_Info[Superficie m2]))</f>
        <v>15026.89</v>
      </c>
      <c r="H63" s="30" t="str" cm="1">
        <f t="array" ref="H63">IF(INDEX(T_Info[],MATCH(T_Fe[[#This Row],[Codigo]],T_Info[Codigo],0),COLUMN(T_Info[Postensado]))&lt;&gt;"",INDEX(T_Info[],MATCH(T_Fe[[#This Row],[Codigo]],T_Info[Codigo],0),COLUMN(T_Info[Postensado])),"")</f>
        <v/>
      </c>
      <c r="I63" s="30" t="str" cm="1">
        <f t="array" ref="I63">IF(INDEX(T_Info[],MATCH(T_Fe[[#This Row],[Codigo]],T_Info[Codigo],0),COLUMN(T_Info[Losa Fundación]))&lt;&gt;"",INDEX(T_Info[],MATCH(T_Fe[[#This Row],[Codigo]],T_Info[Codigo],0),COLUMN(T_Info[Losa Fundación])),"")</f>
        <v/>
      </c>
      <c r="J63" s="33">
        <v>15327.427799999999</v>
      </c>
      <c r="K63" s="33">
        <v>0</v>
      </c>
      <c r="L63" s="33">
        <v>133138.24539999999</v>
      </c>
      <c r="M63" s="33">
        <v>22690.603899999998</v>
      </c>
      <c r="N63" s="33">
        <v>47034.165699999998</v>
      </c>
      <c r="O63" s="33">
        <v>0</v>
      </c>
      <c r="P63" s="33">
        <v>0</v>
      </c>
      <c r="Q63" s="33">
        <v>250047.44959999999</v>
      </c>
      <c r="R63" s="33"/>
      <c r="S63" s="33"/>
      <c r="T63" s="33"/>
      <c r="U63" s="33">
        <f>SUM(T_Fe[[#This Row],[Fund kg]:[Cierros kg]])</f>
        <v>468237.89239999995</v>
      </c>
      <c r="V63" s="22">
        <f>IFERROR(T_Fe[[#This Row],[Fund kg]]/T_Fe[[#This Row],[Superficie m2]],)</f>
        <v>1.02</v>
      </c>
      <c r="W63" s="22">
        <f>IFERROR(T_Fe[[#This Row],[Muros kg]]/T_Fe[[#This Row],[Superficie m2]],)</f>
        <v>8.86</v>
      </c>
      <c r="X63" s="22">
        <f>IFERROR(T_Fe[[#This Row],[Perimetrales kg]]/T_Fe[[#This Row],[Superficie m2]],)</f>
        <v>1.51</v>
      </c>
      <c r="Y63" s="22">
        <f>IFERROR(T_Fe[[#This Row],[Vigas kg]]/T_Fe[[#This Row],[Superficie m2]],)</f>
        <v>3.13</v>
      </c>
      <c r="Z63" s="22">
        <f>IFERROR(T_Fe[[#This Row],[Losas kg]]/T_Fe[[#This Row],[Superficie m2]],)</f>
        <v>16.64</v>
      </c>
      <c r="AA63" s="22">
        <f>IFERROR(T_Fe[[#This Row],[Total kg]]/T_Fe[[#This Row],[Superficie m2]],)</f>
        <v>31.159999999999997</v>
      </c>
    </row>
    <row r="64" spans="1:27" x14ac:dyDescent="0.25">
      <c r="A64" s="30">
        <v>20022</v>
      </c>
      <c r="B64" s="31" t="str" cm="1">
        <f t="array" ref="B64">INDEX(T_Info[],MATCH(T_Fe[[#This Row],[Codigo]],T_Info[Codigo],0),COLUMN(T_Info[Proyecto]))</f>
        <v>General del Canto</v>
      </c>
      <c r="C64" s="30" t="str" cm="1">
        <f t="array" ref="C64">INDEX(T_Info[],MATCH(T_Fe[[#This Row],[Codigo]],T_Info[Codigo],0),COLUMN(T_Info[T.S]))</f>
        <v>B</v>
      </c>
      <c r="D64" s="30" cm="1">
        <f t="array" ref="D64">INDEX(T_Info[],MATCH(T_Fe[[#This Row],[Codigo]],T_Info[Codigo],0),COLUMN(T_Info[Z.S]))</f>
        <v>2</v>
      </c>
      <c r="E64" s="30" cm="1">
        <f t="array" ref="E64">INDEX(T_Info[],MATCH(T_Fe[[#This Row],[Codigo]],T_Info[Codigo],0),COLUMN(T_Info[Pisos]))</f>
        <v>10</v>
      </c>
      <c r="F64" s="30" cm="1">
        <f t="array" ref="F64">INDEX(T_Info[],MATCH(T_Fe[[#This Row],[Codigo]],T_Info[Codigo],0),COLUMN(T_Info[Subt.]))</f>
        <v>3</v>
      </c>
      <c r="G64" s="32" cm="1">
        <f t="array" ref="G64">INDEX(T_Info[],MATCH(T_Fe[[#This Row],[Codigo]],T_Info[Codigo],0),COLUMN(T_Info[Superficie m2]))</f>
        <v>13520.53</v>
      </c>
      <c r="H64" s="30" t="str" cm="1">
        <f t="array" ref="H64">IF(INDEX(T_Info[],MATCH(T_Fe[[#This Row],[Codigo]],T_Info[Codigo],0),COLUMN(T_Info[Postensado]))&lt;&gt;"",INDEX(T_Info[],MATCH(T_Fe[[#This Row],[Codigo]],T_Info[Codigo],0),COLUMN(T_Info[Postensado])),"")</f>
        <v/>
      </c>
      <c r="I64" s="30" t="str" cm="1">
        <f t="array" ref="I64">IF(INDEX(T_Info[],MATCH(T_Fe[[#This Row],[Codigo]],T_Info[Codigo],0),COLUMN(T_Info[Losa Fundación]))&lt;&gt;"",INDEX(T_Info[],MATCH(T_Fe[[#This Row],[Codigo]],T_Info[Codigo],0),COLUMN(T_Info[Losa Fundación])),"")</f>
        <v/>
      </c>
      <c r="J64" s="33">
        <v>3515.3378000000002</v>
      </c>
      <c r="K64" s="33">
        <v>0</v>
      </c>
      <c r="L64" s="33">
        <v>130608.31980000001</v>
      </c>
      <c r="M64" s="33">
        <v>37181.457500000004</v>
      </c>
      <c r="N64" s="33">
        <v>29745.166000000005</v>
      </c>
      <c r="O64" s="33">
        <v>0</v>
      </c>
      <c r="P64" s="33">
        <v>0</v>
      </c>
      <c r="Q64" s="33">
        <v>191045.08890000003</v>
      </c>
      <c r="R64" s="33"/>
      <c r="S64" s="33"/>
      <c r="T64" s="33"/>
      <c r="U64" s="33">
        <f>SUM(T_Fe[[#This Row],[Fund kg]:[Cierros kg]])</f>
        <v>392095.37</v>
      </c>
      <c r="V64" s="22">
        <f>IFERROR(T_Fe[[#This Row],[Fund kg]]/T_Fe[[#This Row],[Superficie m2]],)</f>
        <v>0.26</v>
      </c>
      <c r="W64" s="22">
        <f>IFERROR(T_Fe[[#This Row],[Muros kg]]/T_Fe[[#This Row],[Superficie m2]],)</f>
        <v>9.66</v>
      </c>
      <c r="X64" s="22">
        <f>IFERROR(T_Fe[[#This Row],[Perimetrales kg]]/T_Fe[[#This Row],[Superficie m2]],)</f>
        <v>2.75</v>
      </c>
      <c r="Y64" s="22">
        <f>IFERROR(T_Fe[[#This Row],[Vigas kg]]/T_Fe[[#This Row],[Superficie m2]],)</f>
        <v>2.2000000000000002</v>
      </c>
      <c r="Z64" s="22">
        <f>IFERROR(T_Fe[[#This Row],[Losas kg]]/T_Fe[[#This Row],[Superficie m2]],)</f>
        <v>14.13</v>
      </c>
      <c r="AA64" s="22">
        <f>IFERROR(T_Fe[[#This Row],[Total kg]]/T_Fe[[#This Row],[Superficie m2]],)</f>
        <v>29</v>
      </c>
    </row>
    <row r="65" spans="1:27" x14ac:dyDescent="0.25">
      <c r="A65" s="30">
        <v>20039</v>
      </c>
      <c r="B65" s="31" t="str" cm="1">
        <f t="array" ref="B65">INDEX(T_Info[],MATCH(T_Fe[[#This Row],[Codigo]],T_Info[Codigo],0),COLUMN(T_Info[Proyecto]))</f>
        <v>Cinerarias</v>
      </c>
      <c r="C65" s="30" t="str" cm="1">
        <f t="array" ref="C65">INDEX(T_Info[],MATCH(T_Fe[[#This Row],[Codigo]],T_Info[Codigo],0),COLUMN(T_Info[T.S]))</f>
        <v>C</v>
      </c>
      <c r="D65" s="30" cm="1">
        <f t="array" ref="D65">INDEX(T_Info[],MATCH(T_Fe[[#This Row],[Codigo]],T_Info[Codigo],0),COLUMN(T_Info[Z.S]))</f>
        <v>3</v>
      </c>
      <c r="E65" s="30" cm="1">
        <f t="array" ref="E65">INDEX(T_Info[],MATCH(T_Fe[[#This Row],[Codigo]],T_Info[Codigo],0),COLUMN(T_Info[Pisos]))</f>
        <v>17</v>
      </c>
      <c r="F65" s="30" cm="1">
        <f t="array" ref="F65">INDEX(T_Info[],MATCH(T_Fe[[#This Row],[Codigo]],T_Info[Codigo],0),COLUMN(T_Info[Subt.]))</f>
        <v>2</v>
      </c>
      <c r="G65" s="32" cm="1">
        <f t="array" ref="G65">INDEX(T_Info[],MATCH(T_Fe[[#This Row],[Codigo]],T_Info[Codigo],0),COLUMN(T_Info[Superficie m2]))</f>
        <v>12603.3</v>
      </c>
      <c r="H65" s="30" t="str" cm="1">
        <f t="array" ref="H65">IF(INDEX(T_Info[],MATCH(T_Fe[[#This Row],[Codigo]],T_Info[Codigo],0),COLUMN(T_Info[Postensado]))&lt;&gt;"",INDEX(T_Info[],MATCH(T_Fe[[#This Row],[Codigo]],T_Info[Codigo],0),COLUMN(T_Info[Postensado])),"")</f>
        <v/>
      </c>
      <c r="I65" s="30" t="str" cm="1">
        <f t="array" ref="I65">IF(INDEX(T_Info[],MATCH(T_Fe[[#This Row],[Codigo]],T_Info[Codigo],0),COLUMN(T_Info[Losa Fundación]))&lt;&gt;"",INDEX(T_Info[],MATCH(T_Fe[[#This Row],[Codigo]],T_Info[Codigo],0),COLUMN(T_Info[Losa Fundación])),"")</f>
        <v>Si</v>
      </c>
      <c r="J65" s="33">
        <v>47262.375</v>
      </c>
      <c r="K65" s="33">
        <v>0</v>
      </c>
      <c r="L65" s="33">
        <v>266685.82799999998</v>
      </c>
      <c r="M65" s="33">
        <v>35541.305999999997</v>
      </c>
      <c r="N65" s="33">
        <v>40330.559999999998</v>
      </c>
      <c r="O65" s="33">
        <v>0</v>
      </c>
      <c r="P65" s="33">
        <v>0</v>
      </c>
      <c r="Q65" s="33">
        <v>218163.12299999996</v>
      </c>
      <c r="R65" s="33"/>
      <c r="S65" s="33"/>
      <c r="T65" s="33"/>
      <c r="U65" s="33">
        <f>SUM(T_Fe[[#This Row],[Fund kg]:[Cierros kg]])</f>
        <v>607983.19199999992</v>
      </c>
      <c r="V65" s="22">
        <f>IFERROR(T_Fe[[#This Row],[Fund kg]]/T_Fe[[#This Row],[Superficie m2]],)</f>
        <v>3.75</v>
      </c>
      <c r="W65" s="22">
        <f>IFERROR(T_Fe[[#This Row],[Muros kg]]/T_Fe[[#This Row],[Superficie m2]],)</f>
        <v>21.16</v>
      </c>
      <c r="X65" s="22">
        <f>IFERROR(T_Fe[[#This Row],[Perimetrales kg]]/T_Fe[[#This Row],[Superficie m2]],)</f>
        <v>2.82</v>
      </c>
      <c r="Y65" s="22">
        <f>IFERROR(T_Fe[[#This Row],[Vigas kg]]/T_Fe[[#This Row],[Superficie m2]],)</f>
        <v>3.2</v>
      </c>
      <c r="Z65" s="22">
        <f>IFERROR(T_Fe[[#This Row],[Losas kg]]/T_Fe[[#This Row],[Superficie m2]],)</f>
        <v>17.309999999999999</v>
      </c>
      <c r="AA65" s="22">
        <f>IFERROR(T_Fe[[#This Row],[Total kg]]/T_Fe[[#This Row],[Superficie m2]],)</f>
        <v>48.239999999999995</v>
      </c>
    </row>
    <row r="66" spans="1:27" x14ac:dyDescent="0.25">
      <c r="A66" s="30">
        <v>20044</v>
      </c>
      <c r="B66" s="31" t="str" cm="1">
        <f t="array" ref="B66">INDEX(T_Info[],MATCH(T_Fe[[#This Row],[Codigo]],T_Info[Codigo],0),COLUMN(T_Info[Proyecto]))</f>
        <v>Celia Solar</v>
      </c>
      <c r="C66" s="30" t="str" cm="1">
        <f t="array" ref="C66">INDEX(T_Info[],MATCH(T_Fe[[#This Row],[Codigo]],T_Info[Codigo],0),COLUMN(T_Info[T.S]))</f>
        <v>B</v>
      </c>
      <c r="D66" s="30" cm="1">
        <f t="array" ref="D66">INDEX(T_Info[],MATCH(T_Fe[[#This Row],[Codigo]],T_Info[Codigo],0),COLUMN(T_Info[Z.S]))</f>
        <v>2</v>
      </c>
      <c r="E66" s="30" cm="1">
        <f t="array" ref="E66">INDEX(T_Info[],MATCH(T_Fe[[#This Row],[Codigo]],T_Info[Codigo],0),COLUMN(T_Info[Pisos]))</f>
        <v>19</v>
      </c>
      <c r="F66" s="30" cm="1">
        <f t="array" ref="F66">INDEX(T_Info[],MATCH(T_Fe[[#This Row],[Codigo]],T_Info[Codigo],0),COLUMN(T_Info[Subt.]))</f>
        <v>1</v>
      </c>
      <c r="G66" s="32" cm="1">
        <f t="array" ref="G66">INDEX(T_Info[],MATCH(T_Fe[[#This Row],[Codigo]],T_Info[Codigo],0),COLUMN(T_Info[Superficie m2]))</f>
        <v>19652.88</v>
      </c>
      <c r="H66" s="30" t="str" cm="1">
        <f t="array" ref="H66">IF(INDEX(T_Info[],MATCH(T_Fe[[#This Row],[Codigo]],T_Info[Codigo],0),COLUMN(T_Info[Postensado]))&lt;&gt;"",INDEX(T_Info[],MATCH(T_Fe[[#This Row],[Codigo]],T_Info[Codigo],0),COLUMN(T_Info[Postensado])),"")</f>
        <v/>
      </c>
      <c r="I66" s="30" t="str" cm="1">
        <f t="array" ref="I66">IF(INDEX(T_Info[],MATCH(T_Fe[[#This Row],[Codigo]],T_Info[Codigo],0),COLUMN(T_Info[Losa Fundación]))&lt;&gt;"",INDEX(T_Info[],MATCH(T_Fe[[#This Row],[Codigo]],T_Info[Codigo],0),COLUMN(T_Info[Losa Fundación])),"")</f>
        <v/>
      </c>
      <c r="J66" s="33">
        <v>28889.7336</v>
      </c>
      <c r="K66" s="33">
        <v>0</v>
      </c>
      <c r="L66" s="33">
        <v>261972.8904</v>
      </c>
      <c r="M66" s="33">
        <v>26924.445600000003</v>
      </c>
      <c r="N66" s="33">
        <v>33999.482400000001</v>
      </c>
      <c r="O66" s="33">
        <v>0</v>
      </c>
      <c r="P66" s="33">
        <v>0</v>
      </c>
      <c r="Q66" s="33">
        <v>277891.72320000001</v>
      </c>
      <c r="R66" s="33"/>
      <c r="S66" s="33"/>
      <c r="T66" s="33"/>
      <c r="U66" s="33">
        <f>SUM(T_Fe[[#This Row],[Fund kg]:[Cierros kg]])</f>
        <v>629678.27520000003</v>
      </c>
      <c r="V66" s="22">
        <f>IFERROR(T_Fe[[#This Row],[Fund kg]]/T_Fe[[#This Row],[Superficie m2]],)</f>
        <v>1.47</v>
      </c>
      <c r="W66" s="22">
        <f>IFERROR(T_Fe[[#This Row],[Muros kg]]/T_Fe[[#This Row],[Superficie m2]],)</f>
        <v>13.33</v>
      </c>
      <c r="X66" s="22">
        <f>IFERROR(T_Fe[[#This Row],[Perimetrales kg]]/T_Fe[[#This Row],[Superficie m2]],)</f>
        <v>1.37</v>
      </c>
      <c r="Y66" s="22">
        <f>IFERROR(T_Fe[[#This Row],[Vigas kg]]/T_Fe[[#This Row],[Superficie m2]],)</f>
        <v>1.73</v>
      </c>
      <c r="Z66" s="22">
        <f>IFERROR(T_Fe[[#This Row],[Losas kg]]/T_Fe[[#This Row],[Superficie m2]],)</f>
        <v>14.139999999999999</v>
      </c>
      <c r="AA66" s="22">
        <f>IFERROR(T_Fe[[#This Row],[Total kg]]/T_Fe[[#This Row],[Superficie m2]],)</f>
        <v>32.04</v>
      </c>
    </row>
    <row r="67" spans="1:27" x14ac:dyDescent="0.25">
      <c r="A67" s="30">
        <v>20053</v>
      </c>
      <c r="B67" s="31" t="str" cm="1">
        <f t="array" ref="B67">INDEX(T_Info[],MATCH(T_Fe[[#This Row],[Codigo]],T_Info[Codigo],0),COLUMN(T_Info[Proyecto]))</f>
        <v>Aldunate</v>
      </c>
      <c r="C67" s="30" t="str" cm="1">
        <f t="array" ref="C67">INDEX(T_Info[],MATCH(T_Fe[[#This Row],[Codigo]],T_Info[Codigo],0),COLUMN(T_Info[T.S]))</f>
        <v>B</v>
      </c>
      <c r="D67" s="30" cm="1">
        <f t="array" ref="D67">INDEX(T_Info[],MATCH(T_Fe[[#This Row],[Codigo]],T_Info[Codigo],0),COLUMN(T_Info[Z.S]))</f>
        <v>2</v>
      </c>
      <c r="E67" s="30" cm="1">
        <f t="array" ref="E67">INDEX(T_Info[],MATCH(T_Fe[[#This Row],[Codigo]],T_Info[Codigo],0),COLUMN(T_Info[Pisos]))</f>
        <v>10</v>
      </c>
      <c r="F67" s="30" cm="1">
        <f t="array" ref="F67">INDEX(T_Info[],MATCH(T_Fe[[#This Row],[Codigo]],T_Info[Codigo],0),COLUMN(T_Info[Subt.]))</f>
        <v>3</v>
      </c>
      <c r="G67" s="32" cm="1">
        <f t="array" ref="G67">INDEX(T_Info[],MATCH(T_Fe[[#This Row],[Codigo]],T_Info[Codigo],0),COLUMN(T_Info[Superficie m2]))</f>
        <v>15742.57</v>
      </c>
      <c r="H67" s="30" t="str" cm="1">
        <f t="array" ref="H67">IF(INDEX(T_Info[],MATCH(T_Fe[[#This Row],[Codigo]],T_Info[Codigo],0),COLUMN(T_Info[Postensado]))&lt;&gt;"",INDEX(T_Info[],MATCH(T_Fe[[#This Row],[Codigo]],T_Info[Codigo],0),COLUMN(T_Info[Postensado])),"")</f>
        <v/>
      </c>
      <c r="I67" s="30" t="str" cm="1">
        <f t="array" ref="I67">IF(INDEX(T_Info[],MATCH(T_Fe[[#This Row],[Codigo]],T_Info[Codigo],0),COLUMN(T_Info[Losa Fundación]))&lt;&gt;"",INDEX(T_Info[],MATCH(T_Fe[[#This Row],[Codigo]],T_Info[Codigo],0),COLUMN(T_Info[Losa Fundación])),"")</f>
        <v/>
      </c>
      <c r="J67" s="33">
        <v>2361.3854999999999</v>
      </c>
      <c r="K67" s="33">
        <v>0</v>
      </c>
      <c r="L67" s="33">
        <v>177261.3382</v>
      </c>
      <c r="M67" s="33">
        <v>44866.324500000002</v>
      </c>
      <c r="N67" s="33">
        <v>36207.911</v>
      </c>
      <c r="O67" s="33">
        <v>0</v>
      </c>
      <c r="P67" s="33">
        <v>0</v>
      </c>
      <c r="Q67" s="33">
        <v>203236.57870000001</v>
      </c>
      <c r="R67" s="33"/>
      <c r="S67" s="33"/>
      <c r="T67" s="33"/>
      <c r="U67" s="33">
        <f>SUM(T_Fe[[#This Row],[Fund kg]:[Cierros kg]])</f>
        <v>463933.5379</v>
      </c>
      <c r="V67" s="22">
        <f>IFERROR(T_Fe[[#This Row],[Fund kg]]/T_Fe[[#This Row],[Superficie m2]],)</f>
        <v>0.15</v>
      </c>
      <c r="W67" s="22">
        <f>IFERROR(T_Fe[[#This Row],[Muros kg]]/T_Fe[[#This Row],[Superficie m2]],)</f>
        <v>11.26</v>
      </c>
      <c r="X67" s="22">
        <f>IFERROR(T_Fe[[#This Row],[Perimetrales kg]]/T_Fe[[#This Row],[Superficie m2]],)</f>
        <v>2.85</v>
      </c>
      <c r="Y67" s="22">
        <f>IFERROR(T_Fe[[#This Row],[Vigas kg]]/T_Fe[[#This Row],[Superficie m2]],)</f>
        <v>2.3000000000000003</v>
      </c>
      <c r="Z67" s="22">
        <f>IFERROR(T_Fe[[#This Row],[Losas kg]]/T_Fe[[#This Row],[Superficie m2]],)</f>
        <v>12.910000000000002</v>
      </c>
      <c r="AA67" s="22">
        <f>IFERROR(T_Fe[[#This Row],[Total kg]]/T_Fe[[#This Row],[Superficie m2]],)</f>
        <v>29.47</v>
      </c>
    </row>
    <row r="68" spans="1:27" x14ac:dyDescent="0.25">
      <c r="A68" s="30">
        <v>20064</v>
      </c>
      <c r="B68" s="31" t="str" cm="1">
        <f t="array" ref="B68">INDEX(T_Info[],MATCH(T_Fe[[#This Row],[Codigo]],T_Info[Codigo],0),COLUMN(T_Info[Proyecto]))</f>
        <v>Vasco da Gama</v>
      </c>
      <c r="C68" s="30" t="str" cm="1">
        <f t="array" ref="C68">INDEX(T_Info[],MATCH(T_Fe[[#This Row],[Codigo]],T_Info[Codigo],0),COLUMN(T_Info[T.S]))</f>
        <v>B</v>
      </c>
      <c r="D68" s="30" cm="1">
        <f t="array" ref="D68">INDEX(T_Info[],MATCH(T_Fe[[#This Row],[Codigo]],T_Info[Codigo],0),COLUMN(T_Info[Z.S]))</f>
        <v>2</v>
      </c>
      <c r="E68" s="30" cm="1">
        <f t="array" ref="E68">INDEX(T_Info[],MATCH(T_Fe[[#This Row],[Codigo]],T_Info[Codigo],0),COLUMN(T_Info[Pisos]))</f>
        <v>16</v>
      </c>
      <c r="F68" s="30" cm="1">
        <f t="array" ref="F68">INDEX(T_Info[],MATCH(T_Fe[[#This Row],[Codigo]],T_Info[Codigo],0),COLUMN(T_Info[Subt.]))</f>
        <v>2</v>
      </c>
      <c r="G68" s="32" cm="1">
        <f t="array" ref="G68">INDEX(T_Info[],MATCH(T_Fe[[#This Row],[Codigo]],T_Info[Codigo],0),COLUMN(T_Info[Superficie m2]))</f>
        <v>32460.95</v>
      </c>
      <c r="H68" s="30" t="str" cm="1">
        <f t="array" ref="H68">IF(INDEX(T_Info[],MATCH(T_Fe[[#This Row],[Codigo]],T_Info[Codigo],0),COLUMN(T_Info[Postensado]))&lt;&gt;"",INDEX(T_Info[],MATCH(T_Fe[[#This Row],[Codigo]],T_Info[Codigo],0),COLUMN(T_Info[Postensado])),"")</f>
        <v/>
      </c>
      <c r="I68" s="30" t="str" cm="1">
        <f t="array" ref="I68">IF(INDEX(T_Info[],MATCH(T_Fe[[#This Row],[Codigo]],T_Info[Codigo],0),COLUMN(T_Info[Losa Fundación]))&lt;&gt;"",INDEX(T_Info[],MATCH(T_Fe[[#This Row],[Codigo]],T_Info[Codigo],0),COLUMN(T_Info[Losa Fundación])),"")</f>
        <v/>
      </c>
      <c r="J68" s="33">
        <v>41874.625500000002</v>
      </c>
      <c r="K68" s="33">
        <v>0</v>
      </c>
      <c r="L68" s="33">
        <v>404138.82750000001</v>
      </c>
      <c r="M68" s="33">
        <v>50314.472500000003</v>
      </c>
      <c r="N68" s="33">
        <v>92189.097999999998</v>
      </c>
      <c r="O68" s="33">
        <v>0</v>
      </c>
      <c r="P68" s="33">
        <v>0</v>
      </c>
      <c r="Q68" s="33">
        <v>478474.40299999999</v>
      </c>
      <c r="R68" s="33"/>
      <c r="S68" s="33"/>
      <c r="T68" s="33"/>
      <c r="U68" s="33">
        <f>SUM(T_Fe[[#This Row],[Fund kg]:[Cierros kg]])</f>
        <v>1066991.4265000001</v>
      </c>
      <c r="V68" s="22">
        <f>IFERROR(T_Fe[[#This Row],[Fund kg]]/T_Fe[[#This Row],[Superficie m2]],)</f>
        <v>1.29</v>
      </c>
      <c r="W68" s="22">
        <f>IFERROR(T_Fe[[#This Row],[Muros kg]]/T_Fe[[#This Row],[Superficie m2]],)</f>
        <v>12.45</v>
      </c>
      <c r="X68" s="22">
        <f>IFERROR(T_Fe[[#This Row],[Perimetrales kg]]/T_Fe[[#This Row],[Superficie m2]],)</f>
        <v>1.55</v>
      </c>
      <c r="Y68" s="22">
        <f>IFERROR(T_Fe[[#This Row],[Vigas kg]]/T_Fe[[#This Row],[Superficie m2]],)</f>
        <v>2.84</v>
      </c>
      <c r="Z68" s="22">
        <f>IFERROR(T_Fe[[#This Row],[Losas kg]]/T_Fe[[#This Row],[Superficie m2]],)</f>
        <v>14.74</v>
      </c>
      <c r="AA68" s="22">
        <f>IFERROR(T_Fe[[#This Row],[Total kg]]/T_Fe[[#This Row],[Superficie m2]],)</f>
        <v>32.870000000000005</v>
      </c>
    </row>
    <row r="69" spans="1:27" x14ac:dyDescent="0.25">
      <c r="A69" s="30">
        <v>20103</v>
      </c>
      <c r="B69" s="31" t="str" cm="1">
        <f t="array" ref="B69">INDEX(T_Info[],MATCH(T_Fe[[#This Row],[Codigo]],T_Info[Codigo],0),COLUMN(T_Info[Proyecto]))</f>
        <v>Millalongo</v>
      </c>
      <c r="C69" s="30" t="str" cm="1">
        <f t="array" ref="C69">INDEX(T_Info[],MATCH(T_Fe[[#This Row],[Codigo]],T_Info[Codigo],0),COLUMN(T_Info[T.S]))</f>
        <v>B</v>
      </c>
      <c r="D69" s="30" cm="1">
        <f t="array" ref="D69">INDEX(T_Info[],MATCH(T_Fe[[#This Row],[Codigo]],T_Info[Codigo],0),COLUMN(T_Info[Z.S]))</f>
        <v>2</v>
      </c>
      <c r="E69" s="30" cm="1">
        <f t="array" ref="E69">INDEX(T_Info[],MATCH(T_Fe[[#This Row],[Codigo]],T_Info[Codigo],0),COLUMN(T_Info[Pisos]))</f>
        <v>17</v>
      </c>
      <c r="F69" s="30" cm="1">
        <f t="array" ref="F69">INDEX(T_Info[],MATCH(T_Fe[[#This Row],[Codigo]],T_Info[Codigo],0),COLUMN(T_Info[Subt.]))</f>
        <v>2</v>
      </c>
      <c r="G69" s="32" cm="1">
        <f t="array" ref="G69">INDEX(T_Info[],MATCH(T_Fe[[#This Row],[Codigo]],T_Info[Codigo],0),COLUMN(T_Info[Superficie m2]))</f>
        <v>20964.990000000002</v>
      </c>
      <c r="H69" s="30" t="str" cm="1">
        <f t="array" ref="H69">IF(INDEX(T_Info[],MATCH(T_Fe[[#This Row],[Codigo]],T_Info[Codigo],0),COLUMN(T_Info[Postensado]))&lt;&gt;"",INDEX(T_Info[],MATCH(T_Fe[[#This Row],[Codigo]],T_Info[Codigo],0),COLUMN(T_Info[Postensado])),"")</f>
        <v/>
      </c>
      <c r="I69" s="30" t="str" cm="1">
        <f t="array" ref="I69">IF(INDEX(T_Info[],MATCH(T_Fe[[#This Row],[Codigo]],T_Info[Codigo],0),COLUMN(T_Info[Losa Fundación]))&lt;&gt;"",INDEX(T_Info[],MATCH(T_Fe[[#This Row],[Codigo]],T_Info[Codigo],0),COLUMN(T_Info[Losa Fundación])),"")</f>
        <v/>
      </c>
      <c r="J69" s="33">
        <v>10901.794800000001</v>
      </c>
      <c r="K69" s="33">
        <v>0</v>
      </c>
      <c r="L69" s="33">
        <v>243822.83370000005</v>
      </c>
      <c r="M69" s="33">
        <v>42139.6299</v>
      </c>
      <c r="N69" s="33">
        <v>34172.933700000001</v>
      </c>
      <c r="O69" s="33">
        <v>0</v>
      </c>
      <c r="P69" s="33">
        <v>0</v>
      </c>
      <c r="Q69" s="33">
        <v>270238.72110000002</v>
      </c>
      <c r="R69" s="33"/>
      <c r="S69" s="33"/>
      <c r="T69" s="33"/>
      <c r="U69" s="33">
        <f>SUM(T_Fe[[#This Row],[Fund kg]:[Cierros kg]])</f>
        <v>601275.91320000007</v>
      </c>
      <c r="V69" s="22">
        <f>IFERROR(T_Fe[[#This Row],[Fund kg]]/T_Fe[[#This Row],[Superficie m2]],)</f>
        <v>0.52</v>
      </c>
      <c r="W69" s="22">
        <f>IFERROR(T_Fe[[#This Row],[Muros kg]]/T_Fe[[#This Row],[Superficie m2]],)</f>
        <v>11.63</v>
      </c>
      <c r="X69" s="22">
        <f>IFERROR(T_Fe[[#This Row],[Perimetrales kg]]/T_Fe[[#This Row],[Superficie m2]],)</f>
        <v>2.0099999999999998</v>
      </c>
      <c r="Y69" s="22">
        <f>IFERROR(T_Fe[[#This Row],[Vigas kg]]/T_Fe[[#This Row],[Superficie m2]],)</f>
        <v>1.63</v>
      </c>
      <c r="Z69" s="22">
        <f>IFERROR(T_Fe[[#This Row],[Losas kg]]/T_Fe[[#This Row],[Superficie m2]],)</f>
        <v>12.89</v>
      </c>
      <c r="AA69" s="22">
        <f>IFERROR(T_Fe[[#This Row],[Total kg]]/T_Fe[[#This Row],[Superficie m2]],)</f>
        <v>28.68</v>
      </c>
    </row>
    <row r="70" spans="1:27" x14ac:dyDescent="0.25">
      <c r="A70" s="30">
        <v>20123</v>
      </c>
      <c r="B70" s="31" t="str" cm="1">
        <f t="array" ref="B70">INDEX(T_Info[],MATCH(T_Fe[[#This Row],[Codigo]],T_Info[Codigo],0),COLUMN(T_Info[Proyecto]))</f>
        <v>Mon Amour</v>
      </c>
      <c r="C70" s="30" t="str" cm="1">
        <f t="array" ref="C70">INDEX(T_Info[],MATCH(T_Fe[[#This Row],[Codigo]],T_Info[Codigo],0),COLUMN(T_Info[T.S]))</f>
        <v>C</v>
      </c>
      <c r="D70" s="30" cm="1">
        <f t="array" ref="D70">INDEX(T_Info[],MATCH(T_Fe[[#This Row],[Codigo]],T_Info[Codigo],0),COLUMN(T_Info[Z.S]))</f>
        <v>2</v>
      </c>
      <c r="E70" s="30" cm="1">
        <f t="array" ref="E70">INDEX(T_Info[],MATCH(T_Fe[[#This Row],[Codigo]],T_Info[Codigo],0),COLUMN(T_Info[Pisos]))</f>
        <v>18</v>
      </c>
      <c r="F70" s="30" cm="1">
        <f t="array" ref="F70">INDEX(T_Info[],MATCH(T_Fe[[#This Row],[Codigo]],T_Info[Codigo],0),COLUMN(T_Info[Subt.]))</f>
        <v>3</v>
      </c>
      <c r="G70" s="32" cm="1">
        <f t="array" ref="G70">INDEX(T_Info[],MATCH(T_Fe[[#This Row],[Codigo]],T_Info[Codigo],0),COLUMN(T_Info[Superficie m2]))</f>
        <v>28495.62</v>
      </c>
      <c r="H70" s="30" t="str" cm="1">
        <f t="array" ref="H70">IF(INDEX(T_Info[],MATCH(T_Fe[[#This Row],[Codigo]],T_Info[Codigo],0),COLUMN(T_Info[Postensado]))&lt;&gt;"",INDEX(T_Info[],MATCH(T_Fe[[#This Row],[Codigo]],T_Info[Codigo],0),COLUMN(T_Info[Postensado])),"")</f>
        <v/>
      </c>
      <c r="I70" s="30" t="str" cm="1">
        <f t="array" ref="I70">IF(INDEX(T_Info[],MATCH(T_Fe[[#This Row],[Codigo]],T_Info[Codigo],0),COLUMN(T_Info[Losa Fundación]))&lt;&gt;"",INDEX(T_Info[],MATCH(T_Fe[[#This Row],[Codigo]],T_Info[Codigo],0),COLUMN(T_Info[Losa Fundación])),"")</f>
        <v/>
      </c>
      <c r="J70" s="33">
        <v>26215.970400000002</v>
      </c>
      <c r="K70" s="33">
        <v>0</v>
      </c>
      <c r="L70" s="33">
        <v>381556.3518</v>
      </c>
      <c r="M70" s="33">
        <v>90616.071599999996</v>
      </c>
      <c r="N70" s="33">
        <v>68959.400399999999</v>
      </c>
      <c r="O70" s="33">
        <v>0</v>
      </c>
      <c r="P70" s="33">
        <v>0</v>
      </c>
      <c r="Q70" s="33">
        <v>384975.82619999995</v>
      </c>
      <c r="R70" s="33"/>
      <c r="S70" s="33"/>
      <c r="T70" s="33"/>
      <c r="U70" s="33">
        <f>SUM(T_Fe[[#This Row],[Fund kg]:[Cierros kg]])</f>
        <v>952323.6203999999</v>
      </c>
      <c r="V70" s="22">
        <f>IFERROR(T_Fe[[#This Row],[Fund kg]]/T_Fe[[#This Row],[Superficie m2]],)</f>
        <v>0.92000000000000015</v>
      </c>
      <c r="W70" s="22">
        <f>IFERROR(T_Fe[[#This Row],[Muros kg]]/T_Fe[[#This Row],[Superficie m2]],)</f>
        <v>13.39</v>
      </c>
      <c r="X70" s="22">
        <f>IFERROR(T_Fe[[#This Row],[Perimetrales kg]]/T_Fe[[#This Row],[Superficie m2]],)</f>
        <v>3.18</v>
      </c>
      <c r="Y70" s="22">
        <f>IFERROR(T_Fe[[#This Row],[Vigas kg]]/T_Fe[[#This Row],[Superficie m2]],)</f>
        <v>2.42</v>
      </c>
      <c r="Z70" s="22">
        <f>IFERROR(T_Fe[[#This Row],[Losas kg]]/T_Fe[[#This Row],[Superficie m2]],)</f>
        <v>13.509999999999998</v>
      </c>
      <c r="AA70" s="22">
        <f>IFERROR(T_Fe[[#This Row],[Total kg]]/T_Fe[[#This Row],[Superficie m2]],)</f>
        <v>33.419999999999995</v>
      </c>
    </row>
    <row r="71" spans="1:27" x14ac:dyDescent="0.25">
      <c r="A71" s="30">
        <v>21028</v>
      </c>
      <c r="B71" s="31" t="str" cm="1">
        <f t="array" ref="B71">INDEX(T_Info[],MATCH(T_Fe[[#This Row],[Codigo]],T_Info[Codigo],0),COLUMN(T_Info[Proyecto]))</f>
        <v>Conjunto Olimpia 2</v>
      </c>
      <c r="C71" s="30" t="str" cm="1">
        <f t="array" ref="C71">INDEX(T_Info[],MATCH(T_Fe[[#This Row],[Codigo]],T_Info[Codigo],0),COLUMN(T_Info[T.S]))</f>
        <v>B</v>
      </c>
      <c r="D71" s="30" cm="1">
        <f t="array" ref="D71">INDEX(T_Info[],MATCH(T_Fe[[#This Row],[Codigo]],T_Info[Codigo],0),COLUMN(T_Info[Z.S]))</f>
        <v>2</v>
      </c>
      <c r="E71" s="30" cm="1">
        <f t="array" ref="E71">INDEX(T_Info[],MATCH(T_Fe[[#This Row],[Codigo]],T_Info[Codigo],0),COLUMN(T_Info[Pisos]))</f>
        <v>6</v>
      </c>
      <c r="F71" s="30" cm="1">
        <f t="array" ref="F71">INDEX(T_Info[],MATCH(T_Fe[[#This Row],[Codigo]],T_Info[Codigo],0),COLUMN(T_Info[Subt.]))</f>
        <v>1</v>
      </c>
      <c r="G71" s="32" cm="1">
        <f t="array" ref="G71">INDEX(T_Info[],MATCH(T_Fe[[#This Row],[Codigo]],T_Info[Codigo],0),COLUMN(T_Info[Superficie m2]))</f>
        <v>4733.3999999999996</v>
      </c>
      <c r="H71" s="30" t="str" cm="1">
        <f t="array" ref="H71">IF(INDEX(T_Info[],MATCH(T_Fe[[#This Row],[Codigo]],T_Info[Codigo],0),COLUMN(T_Info[Postensado]))&lt;&gt;"",INDEX(T_Info[],MATCH(T_Fe[[#This Row],[Codigo]],T_Info[Codigo],0),COLUMN(T_Info[Postensado])),"")</f>
        <v/>
      </c>
      <c r="I71" s="30" t="str" cm="1">
        <f t="array" ref="I71">IF(INDEX(T_Info[],MATCH(T_Fe[[#This Row],[Codigo]],T_Info[Codigo],0),COLUMN(T_Info[Losa Fundación]))&lt;&gt;"",INDEX(T_Info[],MATCH(T_Fe[[#This Row],[Codigo]],T_Info[Codigo],0),COLUMN(T_Info[Losa Fundación])),"")</f>
        <v>Si</v>
      </c>
      <c r="J71" s="33">
        <v>24566.346000000001</v>
      </c>
      <c r="K71" s="33">
        <v>0</v>
      </c>
      <c r="L71" s="33">
        <v>49416.695999999996</v>
      </c>
      <c r="M71" s="33">
        <v>6390.09</v>
      </c>
      <c r="N71" s="33">
        <v>11407.494000000001</v>
      </c>
      <c r="O71" s="33">
        <v>0</v>
      </c>
      <c r="P71" s="33">
        <v>0</v>
      </c>
      <c r="Q71" s="33">
        <v>55854.12</v>
      </c>
      <c r="R71" s="33"/>
      <c r="S71" s="33"/>
      <c r="T71" s="33"/>
      <c r="U71" s="33">
        <f>SUM(T_Fe[[#This Row],[Fund kg]:[Cierros kg]])</f>
        <v>147634.74600000001</v>
      </c>
      <c r="V71" s="22">
        <f>IFERROR(T_Fe[[#This Row],[Fund kg]]/T_Fe[[#This Row],[Superficie m2]],)</f>
        <v>5.19</v>
      </c>
      <c r="W71" s="22">
        <f>IFERROR(T_Fe[[#This Row],[Muros kg]]/T_Fe[[#This Row],[Superficie m2]],)</f>
        <v>10.44</v>
      </c>
      <c r="X71" s="22">
        <f>IFERROR(T_Fe[[#This Row],[Perimetrales kg]]/T_Fe[[#This Row],[Superficie m2]],)</f>
        <v>1.35</v>
      </c>
      <c r="Y71" s="22">
        <f>IFERROR(T_Fe[[#This Row],[Vigas kg]]/T_Fe[[#This Row],[Superficie m2]],)</f>
        <v>2.41</v>
      </c>
      <c r="Z71" s="22">
        <f>IFERROR(T_Fe[[#This Row],[Losas kg]]/T_Fe[[#This Row],[Superficie m2]],)</f>
        <v>11.8</v>
      </c>
      <c r="AA71" s="22">
        <f>IFERROR(T_Fe[[#This Row],[Total kg]]/T_Fe[[#This Row],[Superficie m2]],)</f>
        <v>31.190000000000005</v>
      </c>
    </row>
    <row r="72" spans="1:27" x14ac:dyDescent="0.25">
      <c r="A72" s="30">
        <v>21029</v>
      </c>
      <c r="B72" s="31" t="str" cm="1">
        <f t="array" ref="B72">INDEX(T_Info[],MATCH(T_Fe[[#This Row],[Codigo]],T_Info[Codigo],0),COLUMN(T_Info[Proyecto]))</f>
        <v>Vicente Valdés 1 - Torre A</v>
      </c>
      <c r="C72" s="30" t="str" cm="1">
        <f t="array" ref="C72">INDEX(T_Info[],MATCH(T_Fe[[#This Row],[Codigo]],T_Info[Codigo],0),COLUMN(T_Info[T.S]))</f>
        <v>B</v>
      </c>
      <c r="D72" s="30" cm="1">
        <f t="array" ref="D72">INDEX(T_Info[],MATCH(T_Fe[[#This Row],[Codigo]],T_Info[Codigo],0),COLUMN(T_Info[Z.S]))</f>
        <v>2</v>
      </c>
      <c r="E72" s="30" cm="1">
        <f t="array" ref="E72">INDEX(T_Info[],MATCH(T_Fe[[#This Row],[Codigo]],T_Info[Codigo],0),COLUMN(T_Info[Pisos]))</f>
        <v>8</v>
      </c>
      <c r="F72" s="30" cm="1">
        <f t="array" ref="F72">INDEX(T_Info[],MATCH(T_Fe[[#This Row],[Codigo]],T_Info[Codigo],0),COLUMN(T_Info[Subt.]))</f>
        <v>2</v>
      </c>
      <c r="G72" s="32" cm="1">
        <f t="array" ref="G72">INDEX(T_Info[],MATCH(T_Fe[[#This Row],[Codigo]],T_Info[Codigo],0),COLUMN(T_Info[Superficie m2]))</f>
        <v>12671.32</v>
      </c>
      <c r="H72" s="30" t="str" cm="1">
        <f t="array" ref="H72">IF(INDEX(T_Info[],MATCH(T_Fe[[#This Row],[Codigo]],T_Info[Codigo],0),COLUMN(T_Info[Postensado]))&lt;&gt;"",INDEX(T_Info[],MATCH(T_Fe[[#This Row],[Codigo]],T_Info[Codigo],0),COLUMN(T_Info[Postensado])),"")</f>
        <v/>
      </c>
      <c r="I72" s="30" t="str" cm="1">
        <f t="array" ref="I72">IF(INDEX(T_Info[],MATCH(T_Fe[[#This Row],[Codigo]],T_Info[Codigo],0),COLUMN(T_Info[Losa Fundación]))&lt;&gt;"",INDEX(T_Info[],MATCH(T_Fe[[#This Row],[Codigo]],T_Info[Codigo],0),COLUMN(T_Info[Losa Fundación])),"")</f>
        <v/>
      </c>
      <c r="J72" s="33">
        <v>5828.8072000000002</v>
      </c>
      <c r="K72" s="33">
        <v>0</v>
      </c>
      <c r="L72" s="33">
        <v>118096.70239999999</v>
      </c>
      <c r="M72" s="33">
        <v>38520.8128</v>
      </c>
      <c r="N72" s="33">
        <v>42575.635199999997</v>
      </c>
      <c r="O72" s="33">
        <v>0</v>
      </c>
      <c r="P72" s="33">
        <v>0</v>
      </c>
      <c r="Q72" s="33">
        <v>165234.0128</v>
      </c>
      <c r="R72" s="33"/>
      <c r="S72" s="33"/>
      <c r="T72" s="33"/>
      <c r="U72" s="33">
        <f>SUM(T_Fe[[#This Row],[Fund kg]:[Cierros kg]])</f>
        <v>370255.97039999999</v>
      </c>
      <c r="V72" s="22">
        <f>IFERROR(T_Fe[[#This Row],[Fund kg]]/T_Fe[[#This Row],[Superficie m2]],)</f>
        <v>0.46</v>
      </c>
      <c r="W72" s="22">
        <f>IFERROR(T_Fe[[#This Row],[Muros kg]]/T_Fe[[#This Row],[Superficie m2]],)</f>
        <v>9.32</v>
      </c>
      <c r="X72" s="22">
        <f>IFERROR(T_Fe[[#This Row],[Perimetrales kg]]/T_Fe[[#This Row],[Superficie m2]],)</f>
        <v>3.04</v>
      </c>
      <c r="Y72" s="22">
        <f>IFERROR(T_Fe[[#This Row],[Vigas kg]]/T_Fe[[#This Row],[Superficie m2]],)</f>
        <v>3.36</v>
      </c>
      <c r="Z72" s="22">
        <f>IFERROR(T_Fe[[#This Row],[Losas kg]]/T_Fe[[#This Row],[Superficie m2]],)</f>
        <v>13.040000000000001</v>
      </c>
      <c r="AA72" s="22">
        <f>IFERROR(T_Fe[[#This Row],[Total kg]]/T_Fe[[#This Row],[Superficie m2]],)</f>
        <v>29.22</v>
      </c>
    </row>
    <row r="73" spans="1:27" x14ac:dyDescent="0.25">
      <c r="A73" s="30">
        <v>21030</v>
      </c>
      <c r="B73" s="31" t="str" cm="1">
        <f t="array" ref="B73">INDEX(T_Info[],MATCH(T_Fe[[#This Row],[Codigo]],T_Info[Codigo],0),COLUMN(T_Info[Proyecto]))</f>
        <v>Vicente Valdés 1 - Torre B</v>
      </c>
      <c r="C73" s="30" t="str" cm="1">
        <f t="array" ref="C73">INDEX(T_Info[],MATCH(T_Fe[[#This Row],[Codigo]],T_Info[Codigo],0),COLUMN(T_Info[T.S]))</f>
        <v>B</v>
      </c>
      <c r="D73" s="30" cm="1">
        <f t="array" ref="D73">INDEX(T_Info[],MATCH(T_Fe[[#This Row],[Codigo]],T_Info[Codigo],0),COLUMN(T_Info[Z.S]))</f>
        <v>2</v>
      </c>
      <c r="E73" s="30" cm="1">
        <f t="array" ref="E73">INDEX(T_Info[],MATCH(T_Fe[[#This Row],[Codigo]],T_Info[Codigo],0),COLUMN(T_Info[Pisos]))</f>
        <v>8</v>
      </c>
      <c r="F73" s="30" cm="1">
        <f t="array" ref="F73">INDEX(T_Info[],MATCH(T_Fe[[#This Row],[Codigo]],T_Info[Codigo],0),COLUMN(T_Info[Subt.]))</f>
        <v>1</v>
      </c>
      <c r="G73" s="32" cm="1">
        <f t="array" ref="G73">INDEX(T_Info[],MATCH(T_Fe[[#This Row],[Codigo]],T_Info[Codigo],0),COLUMN(T_Info[Superficie m2]))</f>
        <v>8627.34</v>
      </c>
      <c r="H73" s="30" t="str" cm="1">
        <f t="array" ref="H73">IF(INDEX(T_Info[],MATCH(T_Fe[[#This Row],[Codigo]],T_Info[Codigo],0),COLUMN(T_Info[Postensado]))&lt;&gt;"",INDEX(T_Info[],MATCH(T_Fe[[#This Row],[Codigo]],T_Info[Codigo],0),COLUMN(T_Info[Postensado])),"")</f>
        <v/>
      </c>
      <c r="I73" s="30" t="str" cm="1">
        <f t="array" ref="I73">IF(INDEX(T_Info[],MATCH(T_Fe[[#This Row],[Codigo]],T_Info[Codigo],0),COLUMN(T_Info[Losa Fundación]))&lt;&gt;"",INDEX(T_Info[],MATCH(T_Fe[[#This Row],[Codigo]],T_Info[Codigo],0),COLUMN(T_Info[Losa Fundación])),"")</f>
        <v/>
      </c>
      <c r="J73" s="33">
        <v>1898.0148000000002</v>
      </c>
      <c r="K73" s="33">
        <v>0</v>
      </c>
      <c r="L73" s="33">
        <v>105771.1884</v>
      </c>
      <c r="M73" s="33">
        <v>11215.542000000001</v>
      </c>
      <c r="N73" s="33">
        <v>23380.091400000001</v>
      </c>
      <c r="O73" s="33">
        <v>0</v>
      </c>
      <c r="P73" s="33">
        <v>0</v>
      </c>
      <c r="Q73" s="33">
        <v>111033.8658</v>
      </c>
      <c r="R73" s="33"/>
      <c r="S73" s="33"/>
      <c r="T73" s="33"/>
      <c r="U73" s="33">
        <f>SUM(T_Fe[[#This Row],[Fund kg]:[Cierros kg]])</f>
        <v>253298.70240000001</v>
      </c>
      <c r="V73" s="22">
        <f>IFERROR(T_Fe[[#This Row],[Fund kg]]/T_Fe[[#This Row],[Superficie m2]],)</f>
        <v>0.22</v>
      </c>
      <c r="W73" s="22">
        <f>IFERROR(T_Fe[[#This Row],[Muros kg]]/T_Fe[[#This Row],[Superficie m2]],)</f>
        <v>12.26</v>
      </c>
      <c r="X73" s="22">
        <f>IFERROR(T_Fe[[#This Row],[Perimetrales kg]]/T_Fe[[#This Row],[Superficie m2]],)</f>
        <v>1.3</v>
      </c>
      <c r="Y73" s="22">
        <f>IFERROR(T_Fe[[#This Row],[Vigas kg]]/T_Fe[[#This Row],[Superficie m2]],)</f>
        <v>2.71</v>
      </c>
      <c r="Z73" s="22">
        <f>IFERROR(T_Fe[[#This Row],[Losas kg]]/T_Fe[[#This Row],[Superficie m2]],)</f>
        <v>12.87</v>
      </c>
      <c r="AA73" s="22">
        <f>IFERROR(T_Fe[[#This Row],[Total kg]]/T_Fe[[#This Row],[Superficie m2]],)</f>
        <v>29.36</v>
      </c>
    </row>
    <row r="74" spans="1:27" x14ac:dyDescent="0.25">
      <c r="A74" s="30">
        <v>20067</v>
      </c>
      <c r="B74" s="31" t="str" cm="1">
        <f t="array" ref="B74">INDEX(T_Info[],MATCH(T_Fe[[#This Row],[Codigo]],T_Info[Codigo],0),COLUMN(T_Info[Proyecto]))</f>
        <v>Lyon - Almagro</v>
      </c>
      <c r="C74" s="30" t="str" cm="1">
        <f t="array" ref="C74">INDEX(T_Info[],MATCH(T_Fe[[#This Row],[Codigo]],T_Info[Codigo],0),COLUMN(T_Info[T.S]))</f>
        <v>B</v>
      </c>
      <c r="D74" s="30" cm="1">
        <f t="array" ref="D74">INDEX(T_Info[],MATCH(T_Fe[[#This Row],[Codigo]],T_Info[Codigo],0),COLUMN(T_Info[Z.S]))</f>
        <v>2</v>
      </c>
      <c r="E74" s="30" cm="1">
        <f t="array" ref="E74">INDEX(T_Info[],MATCH(T_Fe[[#This Row],[Codigo]],T_Info[Codigo],0),COLUMN(T_Info[Pisos]))</f>
        <v>13</v>
      </c>
      <c r="F74" s="30" cm="1">
        <f t="array" ref="F74">INDEX(T_Info[],MATCH(T_Fe[[#This Row],[Codigo]],T_Info[Codigo],0),COLUMN(T_Info[Subt.]))</f>
        <v>5</v>
      </c>
      <c r="G74" s="32" cm="1">
        <f t="array" ref="G74">INDEX(T_Info[],MATCH(T_Fe[[#This Row],[Codigo]],T_Info[Codigo],0),COLUMN(T_Info[Superficie m2]))</f>
        <v>14804.98</v>
      </c>
      <c r="H74" s="30" t="str" cm="1">
        <f t="array" ref="H74">IF(INDEX(T_Info[],MATCH(T_Fe[[#This Row],[Codigo]],T_Info[Codigo],0),COLUMN(T_Info[Postensado]))&lt;&gt;"",INDEX(T_Info[],MATCH(T_Fe[[#This Row],[Codigo]],T_Info[Codigo],0),COLUMN(T_Info[Postensado])),"")</f>
        <v/>
      </c>
      <c r="I74" s="30" t="str" cm="1">
        <f t="array" ref="I74">IF(INDEX(T_Info[],MATCH(T_Fe[[#This Row],[Codigo]],T_Info[Codigo],0),COLUMN(T_Info[Losa Fundación]))&lt;&gt;"",INDEX(T_Info[],MATCH(T_Fe[[#This Row],[Codigo]],T_Info[Codigo],0),COLUMN(T_Info[Losa Fundación])),"")</f>
        <v/>
      </c>
      <c r="J74" s="33">
        <v>10659.585599999999</v>
      </c>
      <c r="K74" s="33">
        <v>0</v>
      </c>
      <c r="L74" s="33">
        <v>154119.84179999999</v>
      </c>
      <c r="M74" s="33">
        <v>29313.860399999998</v>
      </c>
      <c r="N74" s="33">
        <v>33755.354399999997</v>
      </c>
      <c r="O74" s="33">
        <v>0</v>
      </c>
      <c r="P74" s="33">
        <v>0</v>
      </c>
      <c r="Q74" s="33">
        <v>224443.49679999999</v>
      </c>
      <c r="R74" s="33"/>
      <c r="S74" s="33"/>
      <c r="T74" s="33"/>
      <c r="U74" s="33">
        <f>SUM(T_Fe[[#This Row],[Fund kg]:[Cierros kg]])</f>
        <v>452292.13899999997</v>
      </c>
      <c r="V74" s="22">
        <f>IFERROR(T_Fe[[#This Row],[Fund kg]]/T_Fe[[#This Row],[Superficie m2]],)</f>
        <v>0.72</v>
      </c>
      <c r="W74" s="22">
        <f>IFERROR(T_Fe[[#This Row],[Muros kg]]/T_Fe[[#This Row],[Superficie m2]],)</f>
        <v>10.41</v>
      </c>
      <c r="X74" s="22">
        <f>IFERROR(T_Fe[[#This Row],[Perimetrales kg]]/T_Fe[[#This Row],[Superficie m2]],)</f>
        <v>1.98</v>
      </c>
      <c r="Y74" s="22">
        <f>IFERROR(T_Fe[[#This Row],[Vigas kg]]/T_Fe[[#This Row],[Superficie m2]],)</f>
        <v>2.2799999999999998</v>
      </c>
      <c r="Z74" s="22">
        <f>IFERROR(T_Fe[[#This Row],[Losas kg]]/T_Fe[[#This Row],[Superficie m2]],)</f>
        <v>15.16</v>
      </c>
      <c r="AA74" s="22">
        <f>IFERROR(T_Fe[[#This Row],[Total kg]]/T_Fe[[#This Row],[Superficie m2]],)</f>
        <v>30.549999999999997</v>
      </c>
    </row>
    <row r="75" spans="1:27" x14ac:dyDescent="0.25">
      <c r="A75" s="30">
        <v>21042</v>
      </c>
      <c r="B75" s="31" t="str" cm="1">
        <f t="array" ref="B75">INDEX(T_Info[],MATCH(T_Fe[[#This Row],[Codigo]],T_Info[Codigo],0),COLUMN(T_Info[Proyecto]))</f>
        <v>Carrera 4</v>
      </c>
      <c r="C75" s="30" t="str" cm="1">
        <f t="array" ref="C75">INDEX(T_Info[],MATCH(T_Fe[[#This Row],[Codigo]],T_Info[Codigo],0),COLUMN(T_Info[T.S]))</f>
        <v>B</v>
      </c>
      <c r="D75" s="30" cm="1">
        <f t="array" ref="D75">INDEX(T_Info[],MATCH(T_Fe[[#This Row],[Codigo]],T_Info[Codigo],0),COLUMN(T_Info[Z.S]))</f>
        <v>2</v>
      </c>
      <c r="E75" s="30" cm="1">
        <f t="array" ref="E75">INDEX(T_Info[],MATCH(T_Fe[[#This Row],[Codigo]],T_Info[Codigo],0),COLUMN(T_Info[Pisos]))</f>
        <v>10</v>
      </c>
      <c r="F75" s="30" cm="1">
        <f t="array" ref="F75">INDEX(T_Info[],MATCH(T_Fe[[#This Row],[Codigo]],T_Info[Codigo],0),COLUMN(T_Info[Subt.]))</f>
        <v>3</v>
      </c>
      <c r="G75" s="32" cm="1">
        <f t="array" ref="G75">INDEX(T_Info[],MATCH(T_Fe[[#This Row],[Codigo]],T_Info[Codigo],0),COLUMN(T_Info[Superficie m2]))</f>
        <v>19804.080000000002</v>
      </c>
      <c r="H75" s="30" t="str" cm="1">
        <f t="array" ref="H75">IF(INDEX(T_Info[],MATCH(T_Fe[[#This Row],[Codigo]],T_Info[Codigo],0),COLUMN(T_Info[Postensado]))&lt;&gt;"",INDEX(T_Info[],MATCH(T_Fe[[#This Row],[Codigo]],T_Info[Codigo],0),COLUMN(T_Info[Postensado])),"")</f>
        <v/>
      </c>
      <c r="I75" s="30" t="str" cm="1">
        <f t="array" ref="I75">IF(INDEX(T_Info[],MATCH(T_Fe[[#This Row],[Codigo]],T_Info[Codigo],0),COLUMN(T_Info[Losa Fundación]))&lt;&gt;"",INDEX(T_Info[],MATCH(T_Fe[[#This Row],[Codigo]],T_Info[Codigo],0),COLUMN(T_Info[Losa Fundación])),"")</f>
        <v/>
      </c>
      <c r="J75" s="33">
        <v>6337.3056000000006</v>
      </c>
      <c r="K75" s="33">
        <v>0</v>
      </c>
      <c r="L75" s="33">
        <v>241609.77600000001</v>
      </c>
      <c r="M75" s="33">
        <v>35845.384800000007</v>
      </c>
      <c r="N75" s="33">
        <v>47133.710400000004</v>
      </c>
      <c r="O75" s="33">
        <v>0</v>
      </c>
      <c r="P75" s="33">
        <v>0</v>
      </c>
      <c r="Q75" s="33">
        <v>278445.36480000004</v>
      </c>
      <c r="R75" s="33"/>
      <c r="S75" s="33"/>
      <c r="T75" s="33"/>
      <c r="U75" s="33">
        <f>SUM(T_Fe[[#This Row],[Fund kg]:[Cierros kg]])</f>
        <v>609371.54160000011</v>
      </c>
      <c r="V75" s="22">
        <f>IFERROR(T_Fe[[#This Row],[Fund kg]]/T_Fe[[#This Row],[Superficie m2]],)</f>
        <v>0.32</v>
      </c>
      <c r="W75" s="22">
        <f>IFERROR(T_Fe[[#This Row],[Muros kg]]/T_Fe[[#This Row],[Superficie m2]],)</f>
        <v>12.2</v>
      </c>
      <c r="X75" s="22">
        <f>IFERROR(T_Fe[[#This Row],[Perimetrales kg]]/T_Fe[[#This Row],[Superficie m2]],)</f>
        <v>1.8100000000000003</v>
      </c>
      <c r="Y75" s="22">
        <f>IFERROR(T_Fe[[#This Row],[Vigas kg]]/T_Fe[[#This Row],[Superficie m2]],)</f>
        <v>2.38</v>
      </c>
      <c r="Z75" s="22">
        <f>IFERROR(T_Fe[[#This Row],[Losas kg]]/T_Fe[[#This Row],[Superficie m2]],)</f>
        <v>14.06</v>
      </c>
      <c r="AA75" s="22">
        <f>IFERROR(T_Fe[[#This Row],[Total kg]]/T_Fe[[#This Row],[Superficie m2]],)</f>
        <v>30.770000000000003</v>
      </c>
    </row>
    <row r="76" spans="1:27" x14ac:dyDescent="0.25">
      <c r="A76" s="74">
        <v>21001</v>
      </c>
      <c r="B76" s="78" t="str" cm="1">
        <f t="array" ref="B76">INDEX(T_Info[],MATCH(T_Fe[[#This Row],[Codigo]],T_Info[Codigo],0),COLUMN(T_Info[Proyecto]))</f>
        <v xml:space="preserve">Hernando de Aguirre </v>
      </c>
      <c r="C76" s="74" t="str" cm="1">
        <f t="array" ref="C76">INDEX(T_Info[],MATCH(T_Fe[[#This Row],[Codigo]],T_Info[Codigo],0),COLUMN(T_Info[T.S]))</f>
        <v>B</v>
      </c>
      <c r="D76" s="74" cm="1">
        <f t="array" ref="D76">INDEX(T_Info[],MATCH(T_Fe[[#This Row],[Codigo]],T_Info[Codigo],0),COLUMN(T_Info[Z.S]))</f>
        <v>2</v>
      </c>
      <c r="E76" s="74" cm="1">
        <f t="array" ref="E76">INDEX(T_Info[],MATCH(T_Fe[[#This Row],[Codigo]],T_Info[Codigo],0),COLUMN(T_Info[Pisos]))</f>
        <v>14</v>
      </c>
      <c r="F76" s="74" cm="1">
        <f t="array" ref="F76">INDEX(T_Info[],MATCH(T_Fe[[#This Row],[Codigo]],T_Info[Codigo],0),COLUMN(T_Info[Subt.]))</f>
        <v>4</v>
      </c>
      <c r="G76" s="80" cm="1">
        <f t="array" ref="G76">INDEX(T_Info[],MATCH(T_Fe[[#This Row],[Codigo]],T_Info[Codigo],0),COLUMN(T_Info[Superficie m2]))</f>
        <v>11384.460000000001</v>
      </c>
      <c r="H76" s="74" t="str" cm="1">
        <f t="array" ref="H76">IF(INDEX(T_Info[],MATCH(T_Fe[[#This Row],[Codigo]],T_Info[Codigo],0),COLUMN(T_Info[Postensado]))&lt;&gt;"",INDEX(T_Info[],MATCH(T_Fe[[#This Row],[Codigo]],T_Info[Codigo],0),COLUMN(T_Info[Postensado])),"")</f>
        <v>No</v>
      </c>
      <c r="I76" s="74" t="str" cm="1">
        <f t="array" ref="I76">IF(INDEX(T_Info[],MATCH(T_Fe[[#This Row],[Codigo]],T_Info[Codigo],0),COLUMN(T_Info[Losa Fundación]))&lt;&gt;"",INDEX(T_Info[],MATCH(T_Fe[[#This Row],[Codigo]],T_Info[Codigo],0),COLUMN(T_Info[Losa Fundación])),"")</f>
        <v>No</v>
      </c>
      <c r="J76" s="60">
        <v>3784.8266572668867</v>
      </c>
      <c r="K76" s="60">
        <v>2950.809914391627</v>
      </c>
      <c r="L76" s="60">
        <v>118999.96743779712</v>
      </c>
      <c r="M76" s="60">
        <v>34317.737736529882</v>
      </c>
      <c r="N76" s="60">
        <v>36497.709484562132</v>
      </c>
      <c r="O76" s="60">
        <v>5360.4192142961128</v>
      </c>
      <c r="P76" s="60">
        <v>437.9646063506371</v>
      </c>
      <c r="Q76" s="60">
        <v>166750.49153367925</v>
      </c>
      <c r="R76" s="60">
        <v>0</v>
      </c>
      <c r="S76" s="60">
        <v>8708.0588423808458</v>
      </c>
      <c r="T76" s="60"/>
      <c r="U76" s="60">
        <f>SUM(T_Fe[[#This Row],[Fund kg]:[Cierros kg]])</f>
        <v>377807.98542725452</v>
      </c>
      <c r="V76" s="62">
        <f>IFERROR(T_Fe[[#This Row],[Fund kg]]/T_Fe[[#This Row],[Superficie m2]],)</f>
        <v>0.33245552773402398</v>
      </c>
      <c r="W76" s="62">
        <f>IFERROR(T_Fe[[#This Row],[Muros kg]]/T_Fe[[#This Row],[Superficie m2]],)</f>
        <v>10.452842509684</v>
      </c>
      <c r="X76" s="62">
        <f>IFERROR(T_Fe[[#This Row],[Perimetrales kg]]/T_Fe[[#This Row],[Superficie m2]],)</f>
        <v>3.0144370252545909</v>
      </c>
      <c r="Y76" s="62">
        <f>IFERROR(T_Fe[[#This Row],[Vigas kg]]/T_Fe[[#This Row],[Superficie m2]],)</f>
        <v>3.2059236436828913</v>
      </c>
      <c r="Z76" s="62">
        <f>IFERROR(T_Fe[[#This Row],[Losas kg]]/T_Fe[[#This Row],[Superficie m2]],)</f>
        <v>14.647202549236347</v>
      </c>
      <c r="AA76" s="62">
        <f>IFERROR(T_Fe[[#This Row],[Total kg]]/T_Fe[[#This Row],[Superficie m2]],)</f>
        <v>33.186289505804801</v>
      </c>
    </row>
    <row r="77" spans="1:27" x14ac:dyDescent="0.25">
      <c r="A77" s="74">
        <v>21046</v>
      </c>
      <c r="B77" s="78" t="str" cm="1">
        <f t="array" ref="B77">INDEX(T_Info[],MATCH(T_Fe[[#This Row],[Codigo]],T_Info[Codigo],0),COLUMN(T_Info[Proyecto]))</f>
        <v>Vicente Valdés 2 - Torre A</v>
      </c>
      <c r="C77" s="74" t="str" cm="1">
        <f t="array" ref="C77">INDEX(T_Info[],MATCH(T_Fe[[#This Row],[Codigo]],T_Info[Codigo],0),COLUMN(T_Info[T.S]))</f>
        <v>B</v>
      </c>
      <c r="D77" s="74" cm="1">
        <f t="array" ref="D77">INDEX(T_Info[],MATCH(T_Fe[[#This Row],[Codigo]],T_Info[Codigo],0),COLUMN(T_Info[Z.S]))</f>
        <v>2</v>
      </c>
      <c r="E77" s="74" cm="1">
        <f t="array" ref="E77">INDEX(T_Info[],MATCH(T_Fe[[#This Row],[Codigo]],T_Info[Codigo],0),COLUMN(T_Info[Pisos]))</f>
        <v>8</v>
      </c>
      <c r="F77" s="74" cm="1">
        <f t="array" ref="F77">INDEX(T_Info[],MATCH(T_Fe[[#This Row],[Codigo]],T_Info[Codigo],0),COLUMN(T_Info[Subt.]))</f>
        <v>2</v>
      </c>
      <c r="G77" s="80" cm="1">
        <f t="array" ref="G77">INDEX(T_Info[],MATCH(T_Fe[[#This Row],[Codigo]],T_Info[Codigo],0),COLUMN(T_Info[Superficie m2]))</f>
        <v>9776.25</v>
      </c>
      <c r="H77" s="74" t="str" cm="1">
        <f t="array" ref="H77">IF(INDEX(T_Info[],MATCH(T_Fe[[#This Row],[Codigo]],T_Info[Codigo],0),COLUMN(T_Info[Postensado]))&lt;&gt;"",INDEX(T_Info[],MATCH(T_Fe[[#This Row],[Codigo]],T_Info[Codigo],0),COLUMN(T_Info[Postensado])),"")</f>
        <v>No</v>
      </c>
      <c r="I77" s="74" t="str" cm="1">
        <f t="array" ref="I77">IF(INDEX(T_Info[],MATCH(T_Fe[[#This Row],[Codigo]],T_Info[Codigo],0),COLUMN(T_Info[Losa Fundación]))&lt;&gt;"",INDEX(T_Info[],MATCH(T_Fe[[#This Row],[Codigo]],T_Info[Codigo],0),COLUMN(T_Info[Losa Fundación])),"")</f>
        <v>No</v>
      </c>
      <c r="J77" s="60">
        <v>1936.9180922769472</v>
      </c>
      <c r="K77" s="60">
        <v>0</v>
      </c>
      <c r="L77" s="60">
        <v>112225.05273799102</v>
      </c>
      <c r="M77" s="60">
        <v>16903.6403220391</v>
      </c>
      <c r="N77" s="60">
        <v>28511.229430555257</v>
      </c>
      <c r="O77" s="60">
        <v>0</v>
      </c>
      <c r="P77" s="60">
        <v>0</v>
      </c>
      <c r="Q77" s="60">
        <v>115534.52844460437</v>
      </c>
      <c r="R77" s="60">
        <v>0</v>
      </c>
      <c r="S77" s="60">
        <v>3825.8483536287135</v>
      </c>
      <c r="T77" s="60"/>
      <c r="U77" s="60">
        <f>SUM(T_Fe[[#This Row],[Fund kg]:[Cierros kg]])</f>
        <v>278937.2173810954</v>
      </c>
      <c r="V77" s="62">
        <f>IFERROR(T_Fe[[#This Row],[Fund kg]]/T_Fe[[#This Row],[Superficie m2]],)</f>
        <v>0.19812485280930286</v>
      </c>
      <c r="W77" s="62">
        <f>IFERROR(T_Fe[[#This Row],[Muros kg]]/T_Fe[[#This Row],[Superficie m2]],)</f>
        <v>11.479355861193302</v>
      </c>
      <c r="X77" s="62">
        <f>IFERROR(T_Fe[[#This Row],[Perimetrales kg]]/T_Fe[[#This Row],[Superficie m2]],)</f>
        <v>1.7290515608785679</v>
      </c>
      <c r="Y77" s="62">
        <f>IFERROR(T_Fe[[#This Row],[Vigas kg]]/T_Fe[[#This Row],[Superficie m2]],)</f>
        <v>2.9163768756481532</v>
      </c>
      <c r="Z77" s="62">
        <f>IFERROR(T_Fe[[#This Row],[Losas kg]]/T_Fe[[#This Row],[Superficie m2]],)</f>
        <v>11.817877861614051</v>
      </c>
      <c r="AA77" s="62">
        <f>IFERROR(T_Fe[[#This Row],[Total kg]]/T_Fe[[#This Row],[Superficie m2]],)</f>
        <v>28.532128104446532</v>
      </c>
    </row>
    <row r="78" spans="1:27" x14ac:dyDescent="0.25">
      <c r="A78" s="74">
        <v>21047</v>
      </c>
      <c r="B78" s="78" t="str" cm="1">
        <f t="array" ref="B78">INDEX(T_Info[],MATCH(T_Fe[[#This Row],[Codigo]],T_Info[Codigo],0),COLUMN(T_Info[Proyecto]))</f>
        <v>Vicente Valdés 2 - Torre B</v>
      </c>
      <c r="C78" s="74" t="str" cm="1">
        <f t="array" ref="C78">INDEX(T_Info[],MATCH(T_Fe[[#This Row],[Codigo]],T_Info[Codigo],0),COLUMN(T_Info[T.S]))</f>
        <v>B</v>
      </c>
      <c r="D78" s="74" cm="1">
        <f t="array" ref="D78">INDEX(T_Info[],MATCH(T_Fe[[#This Row],[Codigo]],T_Info[Codigo],0),COLUMN(T_Info[Z.S]))</f>
        <v>2</v>
      </c>
      <c r="E78" s="74" cm="1">
        <f t="array" ref="E78">INDEX(T_Info[],MATCH(T_Fe[[#This Row],[Codigo]],T_Info[Codigo],0),COLUMN(T_Info[Pisos]))</f>
        <v>8</v>
      </c>
      <c r="F78" s="74" cm="1">
        <f t="array" ref="F78">INDEX(T_Info[],MATCH(T_Fe[[#This Row],[Codigo]],T_Info[Codigo],0),COLUMN(T_Info[Subt.]))</f>
        <v>2</v>
      </c>
      <c r="G78" s="80" cm="1">
        <f t="array" ref="G78">INDEX(T_Info[],MATCH(T_Fe[[#This Row],[Codigo]],T_Info[Codigo],0),COLUMN(T_Info[Superficie m2]))</f>
        <v>12714</v>
      </c>
      <c r="H78" s="74" t="str" cm="1">
        <f t="array" ref="H78">IF(INDEX(T_Info[],MATCH(T_Fe[[#This Row],[Codigo]],T_Info[Codigo],0),COLUMN(T_Info[Postensado]))&lt;&gt;"",INDEX(T_Info[],MATCH(T_Fe[[#This Row],[Codigo]],T_Info[Codigo],0),COLUMN(T_Info[Postensado])),"")</f>
        <v>No</v>
      </c>
      <c r="I78" s="74" t="str" cm="1">
        <f t="array" ref="I78">IF(INDEX(T_Info[],MATCH(T_Fe[[#This Row],[Codigo]],T_Info[Codigo],0),COLUMN(T_Info[Losa Fundación]))&lt;&gt;"",INDEX(T_Info[],MATCH(T_Fe[[#This Row],[Codigo]],T_Info[Codigo],0),COLUMN(T_Info[Losa Fundación])),"")</f>
        <v>No</v>
      </c>
      <c r="J78" s="60">
        <v>3641.5300731681273</v>
      </c>
      <c r="K78" s="60">
        <v>0</v>
      </c>
      <c r="L78" s="60">
        <v>149425.86362692012</v>
      </c>
      <c r="M78" s="60">
        <v>21485.290230826224</v>
      </c>
      <c r="N78" s="60">
        <v>36005.382788779149</v>
      </c>
      <c r="O78" s="60">
        <v>0</v>
      </c>
      <c r="P78" s="60">
        <v>0</v>
      </c>
      <c r="Q78" s="60">
        <v>161229.68759740979</v>
      </c>
      <c r="R78" s="60">
        <v>0</v>
      </c>
      <c r="S78" s="60">
        <v>3825.8483536287135</v>
      </c>
      <c r="T78" s="60"/>
      <c r="U78" s="60">
        <f>SUM(T_Fe[[#This Row],[Fund kg]:[Cierros kg]])</f>
        <v>375613.60267073213</v>
      </c>
      <c r="V78" s="62">
        <f>IFERROR(T_Fe[[#This Row],[Fund kg]]/T_Fe[[#This Row],[Superficie m2]],)</f>
        <v>0.28641891404499981</v>
      </c>
      <c r="W78" s="62">
        <f>IFERROR(T_Fe[[#This Row],[Muros kg]]/T_Fe[[#This Row],[Superficie m2]],)</f>
        <v>11.752860124816747</v>
      </c>
      <c r="X78" s="62">
        <f>IFERROR(T_Fe[[#This Row],[Perimetrales kg]]/T_Fe[[#This Row],[Superficie m2]],)</f>
        <v>1.689892262924825</v>
      </c>
      <c r="Y78" s="62">
        <f>IFERROR(T_Fe[[#This Row],[Vigas kg]]/T_Fe[[#This Row],[Superficie m2]],)</f>
        <v>2.8319476788405811</v>
      </c>
      <c r="Z78" s="62">
        <f>IFERROR(T_Fe[[#This Row],[Losas kg]]/T_Fe[[#This Row],[Superficie m2]],)</f>
        <v>12.68127163736116</v>
      </c>
      <c r="AA78" s="62">
        <f>IFERROR(T_Fe[[#This Row],[Total kg]]/T_Fe[[#This Row],[Superficie m2]],)</f>
        <v>29.543306801221657</v>
      </c>
    </row>
    <row r="79" spans="1:27" x14ac:dyDescent="0.25">
      <c r="A79" s="74">
        <v>21048</v>
      </c>
      <c r="B79" s="78" t="str" cm="1">
        <f t="array" ref="B79">INDEX(T_Info[],MATCH(T_Fe[[#This Row],[Codigo]],T_Info[Codigo],0),COLUMN(T_Info[Proyecto]))</f>
        <v>Vicente Valdés 2 - Torre C</v>
      </c>
      <c r="C79" s="74" t="str" cm="1">
        <f t="array" ref="C79">INDEX(T_Info[],MATCH(T_Fe[[#This Row],[Codigo]],T_Info[Codigo],0),COLUMN(T_Info[T.S]))</f>
        <v>B</v>
      </c>
      <c r="D79" s="74" cm="1">
        <f t="array" ref="D79">INDEX(T_Info[],MATCH(T_Fe[[#This Row],[Codigo]],T_Info[Codigo],0),COLUMN(T_Info[Z.S]))</f>
        <v>2</v>
      </c>
      <c r="E79" s="74" cm="1">
        <f t="array" ref="E79">INDEX(T_Info[],MATCH(T_Fe[[#This Row],[Codigo]],T_Info[Codigo],0),COLUMN(T_Info[Pisos]))</f>
        <v>8</v>
      </c>
      <c r="F79" s="74" cm="1">
        <f t="array" ref="F79">INDEX(T_Info[],MATCH(T_Fe[[#This Row],[Codigo]],T_Info[Codigo],0),COLUMN(T_Info[Subt.]))</f>
        <v>2</v>
      </c>
      <c r="G79" s="80" cm="1">
        <f t="array" ref="G79">INDEX(T_Info[],MATCH(T_Fe[[#This Row],[Codigo]],T_Info[Codigo],0),COLUMN(T_Info[Superficie m2]))</f>
        <v>13311.47</v>
      </c>
      <c r="H79" s="74" t="str" cm="1">
        <f t="array" ref="H79">IF(INDEX(T_Info[],MATCH(T_Fe[[#This Row],[Codigo]],T_Info[Codigo],0),COLUMN(T_Info[Postensado]))&lt;&gt;"",INDEX(T_Info[],MATCH(T_Fe[[#This Row],[Codigo]],T_Info[Codigo],0),COLUMN(T_Info[Postensado])),"")</f>
        <v>No</v>
      </c>
      <c r="I79" s="74" t="str" cm="1">
        <f t="array" ref="I79">IF(INDEX(T_Info[],MATCH(T_Fe[[#This Row],[Codigo]],T_Info[Codigo],0),COLUMN(T_Info[Losa Fundación]))&lt;&gt;"",INDEX(T_Info[],MATCH(T_Fe[[#This Row],[Codigo]],T_Info[Codigo],0),COLUMN(T_Info[Losa Fundación])),"")</f>
        <v>No</v>
      </c>
      <c r="J79" s="60">
        <v>5356.1503082426661</v>
      </c>
      <c r="K79" s="60">
        <v>0</v>
      </c>
      <c r="L79" s="60">
        <v>150202.88492514446</v>
      </c>
      <c r="M79" s="60">
        <v>22066.621028365917</v>
      </c>
      <c r="N79" s="60">
        <v>55524.093058784987</v>
      </c>
      <c r="O79" s="60">
        <v>0</v>
      </c>
      <c r="P79" s="60">
        <v>0</v>
      </c>
      <c r="Q79" s="60">
        <v>162448.25431139886</v>
      </c>
      <c r="R79" s="60">
        <v>0</v>
      </c>
      <c r="S79" s="60">
        <v>3825.8483536287135</v>
      </c>
      <c r="T79" s="60"/>
      <c r="U79" s="60">
        <f>SUM(T_Fe[[#This Row],[Fund kg]:[Cierros kg]])</f>
        <v>399423.85198556562</v>
      </c>
      <c r="V79" s="62">
        <f>IFERROR(T_Fe[[#This Row],[Fund kg]]/T_Fe[[#This Row],[Superficie m2]],)</f>
        <v>0.40237106106558229</v>
      </c>
      <c r="W79" s="62">
        <f>IFERROR(T_Fe[[#This Row],[Muros kg]]/T_Fe[[#This Row],[Superficie m2]],)</f>
        <v>11.283718847365803</v>
      </c>
      <c r="X79" s="62">
        <f>IFERROR(T_Fe[[#This Row],[Perimetrales kg]]/T_Fe[[#This Row],[Superficie m2]],)</f>
        <v>1.6577148149953325</v>
      </c>
      <c r="Y79" s="62">
        <f>IFERROR(T_Fe[[#This Row],[Vigas kg]]/T_Fe[[#This Row],[Superficie m2]],)</f>
        <v>4.1711466170742213</v>
      </c>
      <c r="Z79" s="62">
        <f>IFERROR(T_Fe[[#This Row],[Losas kg]]/T_Fe[[#This Row],[Superficie m2]],)</f>
        <v>12.203629975607418</v>
      </c>
      <c r="AA79" s="62">
        <f>IFERROR(T_Fe[[#This Row],[Total kg]]/T_Fe[[#This Row],[Superficie m2]],)</f>
        <v>30.005991223025379</v>
      </c>
    </row>
    <row r="80" spans="1:27" x14ac:dyDescent="0.25">
      <c r="A80" s="74">
        <v>21049</v>
      </c>
      <c r="B80" s="78" t="str" cm="1">
        <f t="array" ref="B80">INDEX(T_Info[],MATCH(T_Fe[[#This Row],[Codigo]],T_Info[Codigo],0),COLUMN(T_Info[Proyecto]))</f>
        <v>Vicente Valdés 2 - Torre D</v>
      </c>
      <c r="C80" s="74" t="str" cm="1">
        <f t="array" ref="C80">INDEX(T_Info[],MATCH(T_Fe[[#This Row],[Codigo]],T_Info[Codigo],0),COLUMN(T_Info[T.S]))</f>
        <v>B</v>
      </c>
      <c r="D80" s="74" cm="1">
        <f t="array" ref="D80">INDEX(T_Info[],MATCH(T_Fe[[#This Row],[Codigo]],T_Info[Codigo],0),COLUMN(T_Info[Z.S]))</f>
        <v>2</v>
      </c>
      <c r="E80" s="74" cm="1">
        <f t="array" ref="E80">INDEX(T_Info[],MATCH(T_Fe[[#This Row],[Codigo]],T_Info[Codigo],0),COLUMN(T_Info[Pisos]))</f>
        <v>8</v>
      </c>
      <c r="F80" s="74" cm="1">
        <f t="array" ref="F80">INDEX(T_Info[],MATCH(T_Fe[[#This Row],[Codigo]],T_Info[Codigo],0),COLUMN(T_Info[Subt.]))</f>
        <v>2</v>
      </c>
      <c r="G80" s="80" cm="1">
        <f t="array" ref="G80">INDEX(T_Info[],MATCH(T_Fe[[#This Row],[Codigo]],T_Info[Codigo],0),COLUMN(T_Info[Superficie m2]))</f>
        <v>9858.1</v>
      </c>
      <c r="H80" s="74" t="str" cm="1">
        <f t="array" ref="H80">IF(INDEX(T_Info[],MATCH(T_Fe[[#This Row],[Codigo]],T_Info[Codigo],0),COLUMN(T_Info[Postensado]))&lt;&gt;"",INDEX(T_Info[],MATCH(T_Fe[[#This Row],[Codigo]],T_Info[Codigo],0),COLUMN(T_Info[Postensado])),"")</f>
        <v>No</v>
      </c>
      <c r="I80" s="74" t="str" cm="1">
        <f t="array" ref="I80">IF(INDEX(T_Info[],MATCH(T_Fe[[#This Row],[Codigo]],T_Info[Codigo],0),COLUMN(T_Info[Losa Fundación]))&lt;&gt;"",INDEX(T_Info[],MATCH(T_Fe[[#This Row],[Codigo]],T_Info[Codigo],0),COLUMN(T_Info[Losa Fundación])),"")</f>
        <v>No</v>
      </c>
      <c r="J80" s="60">
        <v>3397.74</v>
      </c>
      <c r="K80" s="60">
        <v>0</v>
      </c>
      <c r="L80" s="60">
        <v>125949.94</v>
      </c>
      <c r="M80" s="60">
        <v>19985.43</v>
      </c>
      <c r="N80" s="60">
        <v>36789.980000000003</v>
      </c>
      <c r="O80" s="60">
        <v>0</v>
      </c>
      <c r="P80" s="60">
        <v>0</v>
      </c>
      <c r="Q80" s="60">
        <v>119473.34</v>
      </c>
      <c r="R80" s="60">
        <v>0</v>
      </c>
      <c r="S80" s="60">
        <v>3825.85</v>
      </c>
      <c r="T80" s="60"/>
      <c r="U80" s="60">
        <f>SUM(T_Fe[[#This Row],[Fund kg]:[Cierros kg]])</f>
        <v>309422.28000000003</v>
      </c>
      <c r="V80" s="62">
        <f>IFERROR(T_Fe[[#This Row],[Fund kg]]/T_Fe[[#This Row],[Superficie m2]],)</f>
        <v>0.34466479341861006</v>
      </c>
      <c r="W80" s="62">
        <f>IFERROR(T_Fe[[#This Row],[Muros kg]]/T_Fe[[#This Row],[Superficie m2]],)</f>
        <v>12.776289548695996</v>
      </c>
      <c r="X80" s="62">
        <f>IFERROR(T_Fe[[#This Row],[Perimetrales kg]]/T_Fe[[#This Row],[Superficie m2]],)</f>
        <v>2.027310536513121</v>
      </c>
      <c r="Y80" s="62">
        <f>IFERROR(T_Fe[[#This Row],[Vigas kg]]/T_Fe[[#This Row],[Superficie m2]],)</f>
        <v>3.7319544334100891</v>
      </c>
      <c r="Z80" s="62">
        <f>IFERROR(T_Fe[[#This Row],[Losas kg]]/T_Fe[[#This Row],[Superficie m2]],)</f>
        <v>12.119306965845345</v>
      </c>
      <c r="AA80" s="62">
        <f>IFERROR(T_Fe[[#This Row],[Total kg]]/T_Fe[[#This Row],[Superficie m2]],)</f>
        <v>31.38761830372993</v>
      </c>
    </row>
    <row r="81" spans="1:27" x14ac:dyDescent="0.25">
      <c r="A81" s="74">
        <v>20119</v>
      </c>
      <c r="B81" s="78" t="str" cm="1">
        <f t="array" ref="B81">INDEX(T_Info[],MATCH(T_Fe[[#This Row],[Codigo]],T_Info[Codigo],0),COLUMN(T_Info[Proyecto]))</f>
        <v>Presidente Prieto</v>
      </c>
      <c r="C81" s="74" t="str" cm="1">
        <f t="array" ref="C81">INDEX(T_Info[],MATCH(T_Fe[[#This Row],[Codigo]],T_Info[Codigo],0),COLUMN(T_Info[T.S]))</f>
        <v>B</v>
      </c>
      <c r="D81" s="74" cm="1">
        <f t="array" ref="D81">INDEX(T_Info[],MATCH(T_Fe[[#This Row],[Codigo]],T_Info[Codigo],0),COLUMN(T_Info[Z.S]))</f>
        <v>2</v>
      </c>
      <c r="E81" s="74" cm="1">
        <f t="array" ref="E81">INDEX(T_Info[],MATCH(T_Fe[[#This Row],[Codigo]],T_Info[Codigo],0),COLUMN(T_Info[Pisos]))</f>
        <v>9</v>
      </c>
      <c r="F81" s="74" cm="1">
        <f t="array" ref="F81">INDEX(T_Info[],MATCH(T_Fe[[#This Row],[Codigo]],T_Info[Codigo],0),COLUMN(T_Info[Subt.]))</f>
        <v>0</v>
      </c>
      <c r="G81" s="80" cm="1">
        <f t="array" ref="G81">INDEX(T_Info[],MATCH(T_Fe[[#This Row],[Codigo]],T_Info[Codigo],0),COLUMN(T_Info[Superficie m2]))</f>
        <v>11110</v>
      </c>
      <c r="H81" s="74" t="str" cm="1">
        <f t="array" ref="H81">IF(INDEX(T_Info[],MATCH(T_Fe[[#This Row],[Codigo]],T_Info[Codigo],0),COLUMN(T_Info[Postensado]))&lt;&gt;"",INDEX(T_Info[],MATCH(T_Fe[[#This Row],[Codigo]],T_Info[Codigo],0),COLUMN(T_Info[Postensado])),"")</f>
        <v>No</v>
      </c>
      <c r="I81" s="74" t="str" cm="1">
        <f t="array" ref="I81">IF(INDEX(T_Info[],MATCH(T_Fe[[#This Row],[Codigo]],T_Info[Codigo],0),COLUMN(T_Info[Losa Fundación]))&lt;&gt;"",INDEX(T_Info[],MATCH(T_Fe[[#This Row],[Codigo]],T_Info[Codigo],0),COLUMN(T_Info[Losa Fundación])),"")</f>
        <v>No</v>
      </c>
      <c r="J81" s="60">
        <v>5667.58</v>
      </c>
      <c r="K81" s="60">
        <v>0</v>
      </c>
      <c r="L81" s="60">
        <v>102476.28589570735</v>
      </c>
      <c r="M81" s="60">
        <v>0</v>
      </c>
      <c r="N81" s="60">
        <v>28608.417945090325</v>
      </c>
      <c r="O81" s="60">
        <v>0</v>
      </c>
      <c r="P81" s="60">
        <v>0</v>
      </c>
      <c r="Q81" s="60">
        <v>144164.47957603741</v>
      </c>
      <c r="R81" s="60">
        <v>0</v>
      </c>
      <c r="S81" s="60">
        <v>0</v>
      </c>
      <c r="T81" s="60"/>
      <c r="U81" s="60">
        <f>SUM(T_Fe[[#This Row],[Fund kg]:[Cierros kg]])</f>
        <v>280916.76341683511</v>
      </c>
      <c r="V81" s="62">
        <f>IFERROR(T_Fe[[#This Row],[Fund kg]]/T_Fe[[#This Row],[Superficie m2]],)</f>
        <v>0.5101332133213321</v>
      </c>
      <c r="W81" s="62">
        <f>IFERROR(T_Fe[[#This Row],[Muros kg]]/T_Fe[[#This Row],[Superficie m2]],)</f>
        <v>9.2237881094246035</v>
      </c>
      <c r="X81" s="62">
        <f>IFERROR(T_Fe[[#This Row],[Perimetrales kg]]/T_Fe[[#This Row],[Superficie m2]],)</f>
        <v>0</v>
      </c>
      <c r="Y81" s="62">
        <f>IFERROR(T_Fe[[#This Row],[Vigas kg]]/T_Fe[[#This Row],[Superficie m2]],)</f>
        <v>2.5750151165697863</v>
      </c>
      <c r="Z81" s="62">
        <f>IFERROR(T_Fe[[#This Row],[Losas kg]]/T_Fe[[#This Row],[Superficie m2]],)</f>
        <v>12.976100771920558</v>
      </c>
      <c r="AA81" s="62">
        <f>IFERROR(T_Fe[[#This Row],[Total kg]]/T_Fe[[#This Row],[Superficie m2]],)</f>
        <v>25.285037211236283</v>
      </c>
    </row>
    <row r="82" spans="1:27" x14ac:dyDescent="0.25">
      <c r="A82" s="30">
        <v>20125</v>
      </c>
      <c r="B82" s="31" t="str" cm="1">
        <f t="array" ref="B82">INDEX(T_Info[],MATCH(T_Fe[[#This Row],[Codigo]],T_Info[Codigo],0),COLUMN(T_Info[Proyecto]))</f>
        <v>Suárez Mujica</v>
      </c>
      <c r="C82" s="30" t="str" cm="1">
        <f t="array" ref="C82">INDEX(T_Info[],MATCH(T_Fe[[#This Row],[Codigo]],T_Info[Codigo],0),COLUMN(T_Info[T.S]))</f>
        <v>B</v>
      </c>
      <c r="D82" s="30" cm="1">
        <f t="array" ref="D82">INDEX(T_Info[],MATCH(T_Fe[[#This Row],[Codigo]],T_Info[Codigo],0),COLUMN(T_Info[Z.S]))</f>
        <v>2</v>
      </c>
      <c r="E82" s="30" cm="1">
        <f t="array" ref="E82">INDEX(T_Info[],MATCH(T_Fe[[#This Row],[Codigo]],T_Info[Codigo],0),COLUMN(T_Info[Pisos]))</f>
        <v>14</v>
      </c>
      <c r="F82" s="30" cm="1">
        <f t="array" ref="F82">INDEX(T_Info[],MATCH(T_Fe[[#This Row],[Codigo]],T_Info[Codigo],0),COLUMN(T_Info[Subt.]))</f>
        <v>2</v>
      </c>
      <c r="G82" s="32" cm="1">
        <f t="array" ref="G82">INDEX(T_Info[],MATCH(T_Fe[[#This Row],[Codigo]],T_Info[Codigo],0),COLUMN(T_Info[Superficie m2]))</f>
        <v>11586.869999999995</v>
      </c>
      <c r="H82" s="30" t="str" cm="1">
        <f t="array" ref="H82">IF(INDEX(T_Info[],MATCH(T_Fe[[#This Row],[Codigo]],T_Info[Codigo],0),COLUMN(T_Info[Postensado]))&lt;&gt;"",INDEX(T_Info[],MATCH(T_Fe[[#This Row],[Codigo]],T_Info[Codigo],0),COLUMN(T_Info[Postensado])),"")</f>
        <v>No</v>
      </c>
      <c r="I82" s="30" t="str" cm="1">
        <f t="array" ref="I82">IF(INDEX(T_Info[],MATCH(T_Fe[[#This Row],[Codigo]],T_Info[Codigo],0),COLUMN(T_Info[Losa Fundación]))&lt;&gt;"",INDEX(T_Info[],MATCH(T_Fe[[#This Row],[Codigo]],T_Info[Codigo],0),COLUMN(T_Info[Losa Fundación])),"")</f>
        <v>No</v>
      </c>
      <c r="J82" s="33">
        <v>5477.4836666344981</v>
      </c>
      <c r="K82" s="33">
        <v>0</v>
      </c>
      <c r="L82" s="33">
        <v>138308.27094883347</v>
      </c>
      <c r="M82" s="33">
        <v>25092.707959086743</v>
      </c>
      <c r="N82" s="33">
        <v>28613.927324710963</v>
      </c>
      <c r="O82" s="33">
        <v>0</v>
      </c>
      <c r="P82" s="33">
        <v>314.79914495066248</v>
      </c>
      <c r="Q82" s="33">
        <v>152268.87929310254</v>
      </c>
      <c r="R82" s="60">
        <v>0</v>
      </c>
      <c r="S82" s="33">
        <v>3871.5574617385373</v>
      </c>
      <c r="T82" s="33">
        <v>7526.8895296473065</v>
      </c>
      <c r="U82" s="33">
        <f>SUM(T_Fe[[#This Row],[Fund kg]:[Cierros kg]])</f>
        <v>361474.51532870473</v>
      </c>
      <c r="V82" s="22">
        <f>IFERROR(T_Fe[[#This Row],[Fund kg]]/T_Fe[[#This Row],[Superficie m2]],)</f>
        <v>0.47273195147908798</v>
      </c>
      <c r="W82" s="22">
        <f>IFERROR(T_Fe[[#This Row],[Muros kg]]/T_Fe[[#This Row],[Superficie m2]],)</f>
        <v>11.936637845150029</v>
      </c>
      <c r="X82" s="22">
        <f>IFERROR(T_Fe[[#This Row],[Perimetrales kg]]/T_Fe[[#This Row],[Superficie m2]],)</f>
        <v>2.1656157322112661</v>
      </c>
      <c r="Y82" s="22">
        <f>IFERROR(T_Fe[[#This Row],[Vigas kg]]/T_Fe[[#This Row],[Superficie m2]],)</f>
        <v>2.4695131061892446</v>
      </c>
      <c r="Z82" s="22">
        <f>IFERROR(T_Fe[[#This Row],[Losas kg]]/T_Fe[[#This Row],[Superficie m2]],)</f>
        <v>13.141502346457896</v>
      </c>
      <c r="AA82" s="22">
        <f>IFERROR(T_Fe[[#This Row],[Total kg]]/T_Fe[[#This Row],[Superficie m2]],)</f>
        <v>31.196907821413795</v>
      </c>
    </row>
    <row r="83" spans="1:27" x14ac:dyDescent="0.25">
      <c r="A83" s="30">
        <v>22016</v>
      </c>
      <c r="B83" s="31" t="str" cm="1">
        <f t="array" ref="B83">INDEX(T_Info[],MATCH(T_Fe[[#This Row],[Codigo]],T_Info[Codigo],0),COLUMN(T_Info[Proyecto]))</f>
        <v>Edificio 5 La Granja</v>
      </c>
      <c r="C83" s="30" t="str" cm="1">
        <f t="array" ref="C83">INDEX(T_Info[],MATCH(T_Fe[[#This Row],[Codigo]],T_Info[Codigo],0),COLUMN(T_Info[T.S]))</f>
        <v>B</v>
      </c>
      <c r="D83" s="30" cm="1">
        <f t="array" ref="D83">INDEX(T_Info[],MATCH(T_Fe[[#This Row],[Codigo]],T_Info[Codigo],0),COLUMN(T_Info[Z.S]))</f>
        <v>2</v>
      </c>
      <c r="E83" s="30" cm="1">
        <f t="array" ref="E83">INDEX(T_Info[],MATCH(T_Fe[[#This Row],[Codigo]],T_Info[Codigo],0),COLUMN(T_Info[Pisos]))</f>
        <v>11</v>
      </c>
      <c r="F83" s="30" cm="1">
        <f t="array" ref="F83">INDEX(T_Info[],MATCH(T_Fe[[#This Row],[Codigo]],T_Info[Codigo],0),COLUMN(T_Info[Subt.]))</f>
        <v>0</v>
      </c>
      <c r="G83" s="32" cm="1">
        <f t="array" ref="G83">INDEX(T_Info[],MATCH(T_Fe[[#This Row],[Codigo]],T_Info[Codigo],0),COLUMN(T_Info[Superficie m2]))</f>
        <v>3822.1</v>
      </c>
      <c r="H83" s="30" t="str" cm="1">
        <f t="array" ref="H83">IF(INDEX(T_Info[],MATCH(T_Fe[[#This Row],[Codigo]],T_Info[Codigo],0),COLUMN(T_Info[Postensado]))&lt;&gt;"",INDEX(T_Info[],MATCH(T_Fe[[#This Row],[Codigo]],T_Info[Codigo],0),COLUMN(T_Info[Postensado])),"")</f>
        <v>No</v>
      </c>
      <c r="I83" s="30" t="str" cm="1">
        <f t="array" ref="I83">IF(INDEX(T_Info[],MATCH(T_Fe[[#This Row],[Codigo]],T_Info[Codigo],0),COLUMN(T_Info[Losa Fundación]))&lt;&gt;"",INDEX(T_Info[],MATCH(T_Fe[[#This Row],[Codigo]],T_Info[Codigo],0),COLUMN(T_Info[Losa Fundación])),"")</f>
        <v>No</v>
      </c>
      <c r="J83" s="33">
        <v>799.84157279047406</v>
      </c>
      <c r="K83" s="33">
        <v>0</v>
      </c>
      <c r="L83" s="33">
        <v>43870.3</v>
      </c>
      <c r="M83" s="33">
        <v>0</v>
      </c>
      <c r="N83" s="33">
        <v>3964.5</v>
      </c>
      <c r="O83" s="33">
        <v>0</v>
      </c>
      <c r="P83" s="33">
        <v>0</v>
      </c>
      <c r="Q83" s="33">
        <v>48839</v>
      </c>
      <c r="R83" s="60">
        <v>0</v>
      </c>
      <c r="S83" s="33">
        <v>1812.6687578495391</v>
      </c>
      <c r="T83" s="60">
        <v>0</v>
      </c>
      <c r="U83" s="33">
        <f>SUM(T_Fe[[#This Row],[Fund kg]:[Cierros kg]])</f>
        <v>99286.310330640015</v>
      </c>
      <c r="V83" s="22">
        <f>IFERROR(T_Fe[[#This Row],[Fund kg]]/T_Fe[[#This Row],[Superficie m2]],)</f>
        <v>0.2092675682976568</v>
      </c>
      <c r="W83" s="22">
        <f>IFERROR(T_Fe[[#This Row],[Muros kg]]/T_Fe[[#This Row],[Superficie m2]],)</f>
        <v>11.478061798487744</v>
      </c>
      <c r="X83" s="22">
        <f>IFERROR(T_Fe[[#This Row],[Perimetrales kg]]/T_Fe[[#This Row],[Superficie m2]],)</f>
        <v>0</v>
      </c>
      <c r="Y83" s="22">
        <f>IFERROR(T_Fe[[#This Row],[Vigas kg]]/T_Fe[[#This Row],[Superficie m2]],)</f>
        <v>1.0372570053112165</v>
      </c>
      <c r="Z83" s="22">
        <f>IFERROR(T_Fe[[#This Row],[Losas kg]]/T_Fe[[#This Row],[Superficie m2]],)</f>
        <v>12.778053949399546</v>
      </c>
      <c r="AA83" s="22">
        <f>IFERROR(T_Fe[[#This Row],[Total kg]]/T_Fe[[#This Row],[Superficie m2]],)</f>
        <v>25.976900219941921</v>
      </c>
    </row>
    <row r="84" spans="1:27" x14ac:dyDescent="0.25">
      <c r="A84" s="30">
        <v>22017</v>
      </c>
      <c r="B84" s="31" t="str" cm="1">
        <f t="array" ref="B84">INDEX(T_Info[],MATCH(T_Fe[[#This Row],[Codigo]],T_Info[Codigo],0),COLUMN(T_Info[Proyecto]))</f>
        <v>Edificio 6 La Granja</v>
      </c>
      <c r="C84" s="30" t="str" cm="1">
        <f t="array" ref="C84">INDEX(T_Info[],MATCH(T_Fe[[#This Row],[Codigo]],T_Info[Codigo],0),COLUMN(T_Info[T.S]))</f>
        <v>B</v>
      </c>
      <c r="D84" s="30" cm="1">
        <f t="array" ref="D84">INDEX(T_Info[],MATCH(T_Fe[[#This Row],[Codigo]],T_Info[Codigo],0),COLUMN(T_Info[Z.S]))</f>
        <v>2</v>
      </c>
      <c r="E84" s="30" cm="1">
        <f t="array" ref="E84">INDEX(T_Info[],MATCH(T_Fe[[#This Row],[Codigo]],T_Info[Codigo],0),COLUMN(T_Info[Pisos]))</f>
        <v>11</v>
      </c>
      <c r="F84" s="30" cm="1">
        <f t="array" ref="F84">INDEX(T_Info[],MATCH(T_Fe[[#This Row],[Codigo]],T_Info[Codigo],0),COLUMN(T_Info[Subt.]))</f>
        <v>0</v>
      </c>
      <c r="G84" s="32" cm="1">
        <f t="array" ref="G84">INDEX(T_Info[],MATCH(T_Fe[[#This Row],[Codigo]],T_Info[Codigo],0),COLUMN(T_Info[Superficie m2]))</f>
        <v>4581.3</v>
      </c>
      <c r="H84" s="30" t="str" cm="1">
        <f t="array" ref="H84">IF(INDEX(T_Info[],MATCH(T_Fe[[#This Row],[Codigo]],T_Info[Codigo],0),COLUMN(T_Info[Postensado]))&lt;&gt;"",INDEX(T_Info[],MATCH(T_Fe[[#This Row],[Codigo]],T_Info[Codigo],0),COLUMN(T_Info[Postensado])),"")</f>
        <v>No</v>
      </c>
      <c r="I84" s="30" t="str" cm="1">
        <f t="array" ref="I84">IF(INDEX(T_Info[],MATCH(T_Fe[[#This Row],[Codigo]],T_Info[Codigo],0),COLUMN(T_Info[Losa Fundación]))&lt;&gt;"",INDEX(T_Info[],MATCH(T_Fe[[#This Row],[Codigo]],T_Info[Codigo],0),COLUMN(T_Info[Losa Fundación])),"")</f>
        <v>No</v>
      </c>
      <c r="J84" s="33">
        <v>934.26895584477677</v>
      </c>
      <c r="K84" s="33">
        <v>0</v>
      </c>
      <c r="L84" s="33">
        <v>51930.491937204999</v>
      </c>
      <c r="M84" s="33">
        <v>0</v>
      </c>
      <c r="N84" s="33">
        <v>4951.2883432404569</v>
      </c>
      <c r="O84" s="33">
        <v>0</v>
      </c>
      <c r="P84" s="33">
        <v>0</v>
      </c>
      <c r="Q84" s="33">
        <v>56043.751482946354</v>
      </c>
      <c r="R84" s="60">
        <v>0</v>
      </c>
      <c r="S84" s="33">
        <v>1812.6687578495391</v>
      </c>
      <c r="T84" s="60">
        <v>0</v>
      </c>
      <c r="U84" s="33">
        <f>SUM(T_Fe[[#This Row],[Fund kg]:[Cierros kg]])</f>
        <v>115672.46947708611</v>
      </c>
      <c r="V84" s="22">
        <f>IFERROR(T_Fe[[#This Row],[Fund kg]]/T_Fe[[#This Row],[Superficie m2]],)</f>
        <v>0.20393097065129476</v>
      </c>
      <c r="W84" s="22">
        <f>IFERROR(T_Fe[[#This Row],[Muros kg]]/T_Fe[[#This Row],[Superficie m2]],)</f>
        <v>11.335317909153515</v>
      </c>
      <c r="X84" s="22">
        <f>IFERROR(T_Fe[[#This Row],[Perimetrales kg]]/T_Fe[[#This Row],[Superficie m2]],)</f>
        <v>0</v>
      </c>
      <c r="Y84" s="22">
        <f>IFERROR(T_Fe[[#This Row],[Vigas kg]]/T_Fe[[#This Row],[Superficie m2]],)</f>
        <v>1.0807605577544488</v>
      </c>
      <c r="Z84" s="22">
        <f>IFERROR(T_Fe[[#This Row],[Losas kg]]/T_Fe[[#This Row],[Superficie m2]],)</f>
        <v>12.233154668532153</v>
      </c>
      <c r="AA84" s="22">
        <f>IFERROR(T_Fe[[#This Row],[Total kg]]/T_Fe[[#This Row],[Superficie m2]],)</f>
        <v>25.248831003664048</v>
      </c>
    </row>
    <row r="85" spans="1:27" x14ac:dyDescent="0.25">
      <c r="A85" s="30">
        <v>20021</v>
      </c>
      <c r="B85" s="31" t="str" cm="1">
        <f t="array" ref="B85">INDEX(T_Info[],MATCH(T_Fe[[#This Row],[Codigo]],T_Info[Codigo],0),COLUMN(T_Info[Proyecto]))</f>
        <v>Alderete Cook - Torre B</v>
      </c>
      <c r="C85" s="30" t="str" cm="1">
        <f t="array" ref="C85">INDEX(T_Info[],MATCH(T_Fe[[#This Row],[Codigo]],T_Info[Codigo],0),COLUMN(T_Info[T.S]))</f>
        <v>B</v>
      </c>
      <c r="D85" s="30" cm="1">
        <f t="array" ref="D85">INDEX(T_Info[],MATCH(T_Fe[[#This Row],[Codigo]],T_Info[Codigo],0),COLUMN(T_Info[Z.S]))</f>
        <v>2</v>
      </c>
      <c r="E85" s="30" cm="1">
        <f t="array" ref="E85">INDEX(T_Info[],MATCH(T_Fe[[#This Row],[Codigo]],T_Info[Codigo],0),COLUMN(T_Info[Pisos]))</f>
        <v>12</v>
      </c>
      <c r="F85" s="30" cm="1">
        <f t="array" ref="F85">INDEX(T_Info[],MATCH(T_Fe[[#This Row],[Codigo]],T_Info[Codigo],0),COLUMN(T_Info[Subt.]))</f>
        <v>2</v>
      </c>
      <c r="G85" s="32" cm="1">
        <f t="array" ref="G85">INDEX(T_Info[],MATCH(T_Fe[[#This Row],[Codigo]],T_Info[Codigo],0),COLUMN(T_Info[Superficie m2]))</f>
        <v>12548.419999999998</v>
      </c>
      <c r="H85" s="30" t="str" cm="1">
        <f t="array" ref="H85">IF(INDEX(T_Info[],MATCH(T_Fe[[#This Row],[Codigo]],T_Info[Codigo],0),COLUMN(T_Info[Postensado]))&lt;&gt;"",INDEX(T_Info[],MATCH(T_Fe[[#This Row],[Codigo]],T_Info[Codigo],0),COLUMN(T_Info[Postensado])),"")</f>
        <v>No</v>
      </c>
      <c r="I85" s="30" t="str" cm="1">
        <f t="array" ref="I85">IF(INDEX(T_Info[],MATCH(T_Fe[[#This Row],[Codigo]],T_Info[Codigo],0),COLUMN(T_Info[Losa Fundación]))&lt;&gt;"",INDEX(T_Info[],MATCH(T_Fe[[#This Row],[Codigo]],T_Info[Codigo],0),COLUMN(T_Info[Losa Fundación])),"")</f>
        <v>No</v>
      </c>
      <c r="J85" s="33">
        <v>10811.298052216276</v>
      </c>
      <c r="K85" s="33">
        <v>0</v>
      </c>
      <c r="L85" s="33">
        <v>140006.04916577469</v>
      </c>
      <c r="M85" s="33">
        <v>8241.1904620686109</v>
      </c>
      <c r="N85" s="33">
        <v>47578.021122962047</v>
      </c>
      <c r="O85" s="33">
        <v>0</v>
      </c>
      <c r="P85" s="33">
        <v>0</v>
      </c>
      <c r="Q85" s="33">
        <v>211706.6321904629</v>
      </c>
      <c r="R85" s="60">
        <v>0</v>
      </c>
      <c r="S85" s="33">
        <v>0</v>
      </c>
      <c r="T85" s="60">
        <v>0</v>
      </c>
      <c r="U85" s="33">
        <f>SUM(T_Fe[[#This Row],[Fund kg]:[Cierros kg]])</f>
        <v>418343.19099348452</v>
      </c>
      <c r="V85" s="22">
        <f>IFERROR(T_Fe[[#This Row],[Fund kg]]/T_Fe[[#This Row],[Superficie m2]],)</f>
        <v>0.86156648025936955</v>
      </c>
      <c r="W85" s="22">
        <f>IFERROR(T_Fe[[#This Row],[Muros kg]]/T_Fe[[#This Row],[Superficie m2]],)</f>
        <v>11.157265150973167</v>
      </c>
      <c r="X85" s="22">
        <f>IFERROR(T_Fe[[#This Row],[Perimetrales kg]]/T_Fe[[#This Row],[Superficie m2]],)</f>
        <v>0.65675124534153395</v>
      </c>
      <c r="Y85" s="22">
        <f>IFERROR(T_Fe[[#This Row],[Vigas kg]]/T_Fe[[#This Row],[Superficie m2]],)</f>
        <v>3.7915547234601692</v>
      </c>
      <c r="Z85" s="22">
        <f>IFERROR(T_Fe[[#This Row],[Losas kg]]/T_Fe[[#This Row],[Superficie m2]],)</f>
        <v>16.87117837866942</v>
      </c>
      <c r="AA85" s="22">
        <f>IFERROR(T_Fe[[#This Row],[Total kg]]/T_Fe[[#This Row],[Superficie m2]],)</f>
        <v>33.338315978703662</v>
      </c>
    </row>
  </sheetData>
  <phoneticPr fontId="4" type="noConversion"/>
  <conditionalFormatting sqref="V2:V85">
    <cfRule type="dataBar" priority="14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{70DCE20F-F9AC-429A-A724-BA6AE02CCB60}</x14:id>
        </ext>
      </extLst>
    </cfRule>
  </conditionalFormatting>
  <conditionalFormatting sqref="W2:W85">
    <cfRule type="dataBar" priority="14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{7613B998-2B8C-4FFB-9AA0-CA45D94A571D}</x14:id>
        </ext>
      </extLst>
    </cfRule>
  </conditionalFormatting>
  <conditionalFormatting sqref="X2:X85">
    <cfRule type="dataBar" priority="14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{699389DD-354B-43FA-A437-6AEE55F9C992}</x14:id>
        </ext>
      </extLst>
    </cfRule>
  </conditionalFormatting>
  <conditionalFormatting sqref="Y2:Y85">
    <cfRule type="dataBar" priority="14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{2F334BFE-91D7-4D3D-BA43-F5B8A5A97353}</x14:id>
        </ext>
      </extLst>
    </cfRule>
  </conditionalFormatting>
  <conditionalFormatting sqref="Z2:Z85">
    <cfRule type="dataBar" priority="14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{770CF9E1-F5FC-4CEF-934F-9D5A9326D6C0}</x14:id>
        </ext>
      </extLst>
    </cfRule>
  </conditionalFormatting>
  <conditionalFormatting sqref="AA2:AA85">
    <cfRule type="dataBar" priority="14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{0802CBA8-25F5-47B5-AD92-D33DF9BC5B82}</x14:id>
        </ext>
      </extLst>
    </cfRule>
  </conditionalFormatting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0DCE20F-F9AC-429A-A724-BA6AE02CCB6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V2:V85</xm:sqref>
        </x14:conditionalFormatting>
        <x14:conditionalFormatting xmlns:xm="http://schemas.microsoft.com/office/excel/2006/main">
          <x14:cfRule type="dataBar" id="{7613B998-2B8C-4FFB-9AA0-CA45D94A571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W2:W85</xm:sqref>
        </x14:conditionalFormatting>
        <x14:conditionalFormatting xmlns:xm="http://schemas.microsoft.com/office/excel/2006/main">
          <x14:cfRule type="dataBar" id="{699389DD-354B-43FA-A437-6AEE55F9C99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X2:X85</xm:sqref>
        </x14:conditionalFormatting>
        <x14:conditionalFormatting xmlns:xm="http://schemas.microsoft.com/office/excel/2006/main">
          <x14:cfRule type="dataBar" id="{2F334BFE-91D7-4D3D-BA43-F5B8A5A9735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Y2:Y85</xm:sqref>
        </x14:conditionalFormatting>
        <x14:conditionalFormatting xmlns:xm="http://schemas.microsoft.com/office/excel/2006/main">
          <x14:cfRule type="dataBar" id="{770CF9E1-F5FC-4CEF-934F-9D5A9326D6C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Z2:Z85</xm:sqref>
        </x14:conditionalFormatting>
        <x14:conditionalFormatting xmlns:xm="http://schemas.microsoft.com/office/excel/2006/main">
          <x14:cfRule type="dataBar" id="{0802CBA8-25F5-47B5-AD92-D33DF9BC5B8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AA2:AA85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748D4E-2A41-414E-8A07-2F9AFEAC8206}">
  <dimension ref="A1:T85"/>
  <sheetViews>
    <sheetView zoomScale="85" zoomScaleNormal="85" workbookViewId="0">
      <pane xSplit="2" ySplit="1" topLeftCell="C32" activePane="bottomRight" state="frozen"/>
      <selection pane="topRight" activeCell="C1" sqref="C1"/>
      <selection pane="bottomLeft" activeCell="A2" sqref="A2"/>
      <selection pane="bottomRight" activeCell="N91" sqref="N91"/>
    </sheetView>
  </sheetViews>
  <sheetFormatPr defaultColWidth="11.42578125" defaultRowHeight="15" x14ac:dyDescent="0.25"/>
  <cols>
    <col min="1" max="1" width="9.42578125" bestFit="1" customWidth="1"/>
    <col min="2" max="2" width="25" bestFit="1" customWidth="1"/>
    <col min="3" max="4" width="6.42578125" bestFit="1" customWidth="1"/>
    <col min="5" max="6" width="8" bestFit="1" customWidth="1"/>
    <col min="7" max="7" width="15.140625" bestFit="1" customWidth="1"/>
    <col min="8" max="8" width="13.5703125" bestFit="1" customWidth="1"/>
    <col min="9" max="9" width="16.7109375" customWidth="1"/>
    <col min="10" max="10" width="13.7109375" bestFit="1" customWidth="1"/>
    <col min="11" max="11" width="10.7109375" bestFit="1" customWidth="1"/>
    <col min="12" max="12" width="11" bestFit="1" customWidth="1"/>
    <col min="13" max="13" width="13.42578125" bestFit="1" customWidth="1"/>
    <col min="14" max="14" width="16" bestFit="1" customWidth="1"/>
    <col min="15" max="15" width="16.140625" bestFit="1" customWidth="1"/>
    <col min="16" max="16" width="17.7109375" bestFit="1" customWidth="1"/>
    <col min="17" max="17" width="16" bestFit="1" customWidth="1"/>
    <col min="18" max="18" width="13.28515625" bestFit="1" customWidth="1"/>
    <col min="19" max="19" width="13.5703125" bestFit="1" customWidth="1"/>
    <col min="20" max="20" width="10.85546875" bestFit="1" customWidth="1"/>
  </cols>
  <sheetData>
    <row r="1" spans="1:20" ht="17.25" x14ac:dyDescent="0.25">
      <c r="A1" s="23" t="s">
        <v>146</v>
      </c>
      <c r="B1" s="24" t="s">
        <v>7</v>
      </c>
      <c r="C1" s="24" t="s">
        <v>77</v>
      </c>
      <c r="D1" s="24" t="s">
        <v>76</v>
      </c>
      <c r="E1" s="24" t="s">
        <v>79</v>
      </c>
      <c r="F1" s="24" t="s">
        <v>78</v>
      </c>
      <c r="G1" s="24" t="s">
        <v>220</v>
      </c>
      <c r="H1" s="24" t="s">
        <v>141</v>
      </c>
      <c r="I1" s="24" t="s">
        <v>142</v>
      </c>
      <c r="J1" s="23" t="s">
        <v>234</v>
      </c>
      <c r="K1" s="23" t="s">
        <v>235</v>
      </c>
      <c r="L1" s="23" t="s">
        <v>236</v>
      </c>
      <c r="M1" s="23" t="s">
        <v>237</v>
      </c>
      <c r="N1" s="23" t="s">
        <v>238</v>
      </c>
      <c r="O1" s="23" t="s">
        <v>239</v>
      </c>
      <c r="P1" s="23" t="s">
        <v>240</v>
      </c>
      <c r="Q1" s="23" t="s">
        <v>241</v>
      </c>
      <c r="R1" s="23" t="s">
        <v>242</v>
      </c>
      <c r="S1" s="23" t="s">
        <v>243</v>
      </c>
      <c r="T1" s="25" t="s">
        <v>244</v>
      </c>
    </row>
    <row r="2" spans="1:20" x14ac:dyDescent="0.25">
      <c r="A2" s="2">
        <v>12110</v>
      </c>
      <c r="B2" s="3" t="e" cm="1">
        <f t="array" ref="B2">INDEX(T_Info[],MATCH(T_MLD[[#This Row],[Codigo]],T_Info[Codigo],0),COLUMN(T_Info[Proyecto]))</f>
        <v>#N/A</v>
      </c>
      <c r="C2" s="2" t="e" cm="1">
        <f t="array" ref="C2">INDEX(T_Info[],MATCH(T_MLD[[#This Row],[Codigo]],T_Info[Codigo],0),COLUMN(T_Info[T.S]))</f>
        <v>#N/A</v>
      </c>
      <c r="D2" s="2" t="e" cm="1">
        <f t="array" ref="D2">INDEX(T_Info[],MATCH(T_MLD[[#This Row],[Codigo]],T_Info[Codigo],0),COLUMN(T_Info[Z.S]))</f>
        <v>#N/A</v>
      </c>
      <c r="E2" s="2" t="e" cm="1">
        <f t="array" ref="E2">INDEX(T_Info[],MATCH(T_MLD[[#This Row],[Codigo]],T_Info[Codigo],0),COLUMN(T_Info[Pisos]))</f>
        <v>#N/A</v>
      </c>
      <c r="F2" s="2" t="e" cm="1">
        <f t="array" ref="F2">INDEX(T_Info[],MATCH(T_MLD[[#This Row],[Codigo]],T_Info[Codigo],0),COLUMN(T_Info[Subt.]))</f>
        <v>#N/A</v>
      </c>
      <c r="G2" s="26" t="e" cm="1">
        <f t="array" ref="G2">INDEX(T_Info[],MATCH(T_MLD[[#This Row],[Codigo]],T_Info[Codigo],0),COLUMN(T_Info[Superficie m2]))</f>
        <v>#N/A</v>
      </c>
      <c r="H2" s="2" t="e" cm="1">
        <f t="array" ref="H2">IF(INDEX(T_Info[],MATCH(T_MLD[[#This Row],[Codigo]],T_Info[Codigo],0),COLUMN(T_Info[Postensado]))&lt;&gt;"",INDEX(T_Info[],MATCH(T_MLD[[#This Row],[Codigo]],T_Info[Codigo],0),COLUMN(T_Info[Postensado])),"")</f>
        <v>#N/A</v>
      </c>
      <c r="I2" s="2" t="e" cm="1">
        <f t="array" ref="I2">IF(INDEX(T_Info[],MATCH(T_MLD[[#This Row],[Codigo]],T_Info[Codigo],0),COLUMN(T_Info[Losa Fundación]))&lt;&gt;"",INDEX(T_Info[],MATCH(T_MLD[[#This Row],[Codigo]],T_Info[Codigo],0),COLUMN(T_Info[Losa Fundación])),"")</f>
        <v>#N/A</v>
      </c>
      <c r="J2" s="58"/>
      <c r="K2" s="58"/>
      <c r="L2" s="58"/>
      <c r="M2" s="58"/>
      <c r="N2" s="58"/>
      <c r="O2" s="58"/>
      <c r="P2" s="58"/>
      <c r="Q2" s="58"/>
      <c r="R2" s="58"/>
      <c r="S2" s="58"/>
      <c r="T2" s="58">
        <v>0</v>
      </c>
    </row>
    <row r="3" spans="1:20" x14ac:dyDescent="0.25">
      <c r="A3" s="2">
        <v>13014</v>
      </c>
      <c r="B3" s="3" t="str" cm="1">
        <f t="array" ref="B3">INDEX(T_Info[],MATCH(T_MLD[[#This Row],[Codigo]],T_Info[Codigo],0),COLUMN(T_Info[Proyecto]))</f>
        <v>Los Gomeros</v>
      </c>
      <c r="C3" s="2" t="str" cm="1">
        <f t="array" ref="C3">INDEX(T_Info[],MATCH(T_MLD[[#This Row],[Codigo]],T_Info[Codigo],0),COLUMN(T_Info[T.S]))</f>
        <v>B</v>
      </c>
      <c r="D3" s="2" cm="1">
        <f t="array" ref="D3">INDEX(T_Info[],MATCH(T_MLD[[#This Row],[Codigo]],T_Info[Codigo],0),COLUMN(T_Info[Z.S]))</f>
        <v>2</v>
      </c>
      <c r="E3" s="2" cm="1">
        <f t="array" ref="E3">INDEX(T_Info[],MATCH(T_MLD[[#This Row],[Codigo]],T_Info[Codigo],0),COLUMN(T_Info[Pisos]))</f>
        <v>6</v>
      </c>
      <c r="F3" s="2" cm="1">
        <f t="array" ref="F3">INDEX(T_Info[],MATCH(T_MLD[[#This Row],[Codigo]],T_Info[Codigo],0),COLUMN(T_Info[Subt.]))</f>
        <v>2</v>
      </c>
      <c r="G3" s="26" cm="1">
        <f t="array" ref="G3">INDEX(T_Info[],MATCH(T_MLD[[#This Row],[Codigo]],T_Info[Codigo],0),COLUMN(T_Info[Superficie m2]))</f>
        <v>8635</v>
      </c>
      <c r="H3" s="2" t="str" cm="1">
        <f t="array" ref="H3">IF(INDEX(T_Info[],MATCH(T_MLD[[#This Row],[Codigo]],T_Info[Codigo],0),COLUMN(T_Info[Postensado]))&lt;&gt;"",INDEX(T_Info[],MATCH(T_MLD[[#This Row],[Codigo]],T_Info[Codigo],0),COLUMN(T_Info[Postensado])),"")</f>
        <v/>
      </c>
      <c r="I3" s="2" t="str" cm="1">
        <f t="array" ref="I3">IF(INDEX(T_Info[],MATCH(T_MLD[[#This Row],[Codigo]],T_Info[Codigo],0),COLUMN(T_Info[Losa Fundación]))&lt;&gt;"",INDEX(T_Info[],MATCH(T_MLD[[#This Row],[Codigo]],T_Info[Codigo],0),COLUMN(T_Info[Losa Fundación])),"")</f>
        <v/>
      </c>
      <c r="J3" s="58"/>
      <c r="K3" s="58"/>
      <c r="L3" s="58"/>
      <c r="M3" s="58"/>
      <c r="N3" s="58"/>
      <c r="O3" s="58"/>
      <c r="P3" s="58"/>
      <c r="Q3" s="58"/>
      <c r="R3" s="58"/>
      <c r="S3" s="58"/>
      <c r="T3" s="58">
        <v>0</v>
      </c>
    </row>
    <row r="4" spans="1:20" x14ac:dyDescent="0.25">
      <c r="A4" s="2">
        <v>13015</v>
      </c>
      <c r="B4" s="3" t="str" cm="1">
        <f t="array" ref="B4">INDEX(T_Info[],MATCH(T_MLD[[#This Row],[Codigo]],T_Info[Codigo],0),COLUMN(T_Info[Proyecto]))</f>
        <v>Paula Jaraq.</v>
      </c>
      <c r="C4" s="2" t="str" cm="1">
        <f t="array" ref="C4">INDEX(T_Info[],MATCH(T_MLD[[#This Row],[Codigo]],T_Info[Codigo],0),COLUMN(T_Info[T.S]))</f>
        <v>D</v>
      </c>
      <c r="D4" s="2" cm="1">
        <f t="array" ref="D4">INDEX(T_Info[],MATCH(T_MLD[[#This Row],[Codigo]],T_Info[Codigo],0),COLUMN(T_Info[Z.S]))</f>
        <v>2</v>
      </c>
      <c r="E4" s="2" cm="1">
        <f t="array" ref="E4">INDEX(T_Info[],MATCH(T_MLD[[#This Row],[Codigo]],T_Info[Codigo],0),COLUMN(T_Info[Pisos]))</f>
        <v>11</v>
      </c>
      <c r="F4" s="2" cm="1">
        <f t="array" ref="F4">INDEX(T_Info[],MATCH(T_MLD[[#This Row],[Codigo]],T_Info[Codigo],0),COLUMN(T_Info[Subt.]))</f>
        <v>1</v>
      </c>
      <c r="G4" s="26" cm="1">
        <f t="array" ref="G4">INDEX(T_Info[],MATCH(T_MLD[[#This Row],[Codigo]],T_Info[Codigo],0),COLUMN(T_Info[Superficie m2]))</f>
        <v>9002</v>
      </c>
      <c r="H4" s="2" t="str" cm="1">
        <f t="array" ref="H4">IF(INDEX(T_Info[],MATCH(T_MLD[[#This Row],[Codigo]],T_Info[Codigo],0),COLUMN(T_Info[Postensado]))&lt;&gt;"",INDEX(T_Info[],MATCH(T_MLD[[#This Row],[Codigo]],T_Info[Codigo],0),COLUMN(T_Info[Postensado])),"")</f>
        <v/>
      </c>
      <c r="I4" s="2" t="str" cm="1">
        <f t="array" ref="I4">IF(INDEX(T_Info[],MATCH(T_MLD[[#This Row],[Codigo]],T_Info[Codigo],0),COLUMN(T_Info[Losa Fundación]))&lt;&gt;"",INDEX(T_Info[],MATCH(T_MLD[[#This Row],[Codigo]],T_Info[Codigo],0),COLUMN(T_Info[Losa Fundación])),"")</f>
        <v/>
      </c>
      <c r="J4" s="58"/>
      <c r="K4" s="58"/>
      <c r="L4" s="58"/>
      <c r="M4" s="58"/>
      <c r="N4" s="58"/>
      <c r="O4" s="58"/>
      <c r="P4" s="58"/>
      <c r="Q4" s="58"/>
      <c r="R4" s="58"/>
      <c r="S4" s="58"/>
      <c r="T4" s="58">
        <v>0</v>
      </c>
    </row>
    <row r="5" spans="1:20" x14ac:dyDescent="0.25">
      <c r="A5" s="2">
        <v>13044</v>
      </c>
      <c r="B5" s="3" t="str" cm="1">
        <f t="array" ref="B5">INDEX(T_Info[],MATCH(T_MLD[[#This Row],[Codigo]],T_Info[Codigo],0),COLUMN(T_Info[Proyecto]))</f>
        <v>Bello Horizonte</v>
      </c>
      <c r="C5" s="2" t="str" cm="1">
        <f t="array" ref="C5">INDEX(T_Info[],MATCH(T_MLD[[#This Row],[Codigo]],T_Info[Codigo],0),COLUMN(T_Info[T.S]))</f>
        <v>B</v>
      </c>
      <c r="D5" s="2" cm="1">
        <f t="array" ref="D5">INDEX(T_Info[],MATCH(T_MLD[[#This Row],[Codigo]],T_Info[Codigo],0),COLUMN(T_Info[Z.S]))</f>
        <v>2</v>
      </c>
      <c r="E5" s="2" cm="1">
        <f t="array" ref="E5">INDEX(T_Info[],MATCH(T_MLD[[#This Row],[Codigo]],T_Info[Codigo],0),COLUMN(T_Info[Pisos]))</f>
        <v>10</v>
      </c>
      <c r="F5" s="2" cm="1">
        <f t="array" ref="F5">INDEX(T_Info[],MATCH(T_MLD[[#This Row],[Codigo]],T_Info[Codigo],0),COLUMN(T_Info[Subt.]))</f>
        <v>2</v>
      </c>
      <c r="G5" s="26" cm="1">
        <f t="array" ref="G5">INDEX(T_Info[],MATCH(T_MLD[[#This Row],[Codigo]],T_Info[Codigo],0),COLUMN(T_Info[Superficie m2]))</f>
        <v>18703</v>
      </c>
      <c r="H5" s="2" t="str" cm="1">
        <f t="array" ref="H5">IF(INDEX(T_Info[],MATCH(T_MLD[[#This Row],[Codigo]],T_Info[Codigo],0),COLUMN(T_Info[Postensado]))&lt;&gt;"",INDEX(T_Info[],MATCH(T_MLD[[#This Row],[Codigo]],T_Info[Codigo],0),COLUMN(T_Info[Postensado])),"")</f>
        <v/>
      </c>
      <c r="I5" s="2" t="str" cm="1">
        <f t="array" ref="I5">IF(INDEX(T_Info[],MATCH(T_MLD[[#This Row],[Codigo]],T_Info[Codigo],0),COLUMN(T_Info[Losa Fundación]))&lt;&gt;"",INDEX(T_Info[],MATCH(T_MLD[[#This Row],[Codigo]],T_Info[Codigo],0),COLUMN(T_Info[Losa Fundación])),"")</f>
        <v/>
      </c>
      <c r="J5" s="58"/>
      <c r="K5" s="58"/>
      <c r="L5" s="58"/>
      <c r="M5" s="58"/>
      <c r="N5" s="58"/>
      <c r="O5" s="58"/>
      <c r="P5" s="58"/>
      <c r="Q5" s="58"/>
      <c r="R5" s="58"/>
      <c r="S5" s="58"/>
      <c r="T5" s="58">
        <v>0</v>
      </c>
    </row>
    <row r="6" spans="1:20" x14ac:dyDescent="0.25">
      <c r="A6" s="2">
        <v>13052</v>
      </c>
      <c r="B6" s="3" t="str" cm="1">
        <f t="array" ref="B6">INDEX(T_Info[],MATCH(T_MLD[[#This Row],[Codigo]],T_Info[Codigo],0),COLUMN(T_Info[Proyecto]))</f>
        <v>Tocornal</v>
      </c>
      <c r="C6" s="2" t="str" cm="1">
        <f t="array" ref="C6">INDEX(T_Info[],MATCH(T_MLD[[#This Row],[Codigo]],T_Info[Codigo],0),COLUMN(T_Info[T.S]))</f>
        <v>B</v>
      </c>
      <c r="D6" s="2" cm="1">
        <f t="array" ref="D6">INDEX(T_Info[],MATCH(T_MLD[[#This Row],[Codigo]],T_Info[Codigo],0),COLUMN(T_Info[Z.S]))</f>
        <v>2</v>
      </c>
      <c r="E6" s="2" cm="1">
        <f t="array" ref="E6">INDEX(T_Info[],MATCH(T_MLD[[#This Row],[Codigo]],T_Info[Codigo],0),COLUMN(T_Info[Pisos]))</f>
        <v>9</v>
      </c>
      <c r="F6" s="2" cm="1">
        <f t="array" ref="F6">INDEX(T_Info[],MATCH(T_MLD[[#This Row],[Codigo]],T_Info[Codigo],0),COLUMN(T_Info[Subt.]))</f>
        <v>2</v>
      </c>
      <c r="G6" s="26" cm="1">
        <f t="array" ref="G6">INDEX(T_Info[],MATCH(T_MLD[[#This Row],[Codigo]],T_Info[Codigo],0),COLUMN(T_Info[Superficie m2]))</f>
        <v>9002</v>
      </c>
      <c r="H6" s="2" t="str" cm="1">
        <f t="array" ref="H6">IF(INDEX(T_Info[],MATCH(T_MLD[[#This Row],[Codigo]],T_Info[Codigo],0),COLUMN(T_Info[Postensado]))&lt;&gt;"",INDEX(T_Info[],MATCH(T_MLD[[#This Row],[Codigo]],T_Info[Codigo],0),COLUMN(T_Info[Postensado])),"")</f>
        <v/>
      </c>
      <c r="I6" s="2" t="str" cm="1">
        <f t="array" ref="I6">IF(INDEX(T_Info[],MATCH(T_MLD[[#This Row],[Codigo]],T_Info[Codigo],0),COLUMN(T_Info[Losa Fundación]))&lt;&gt;"",INDEX(T_Info[],MATCH(T_MLD[[#This Row],[Codigo]],T_Info[Codigo],0),COLUMN(T_Info[Losa Fundación])),"")</f>
        <v/>
      </c>
      <c r="J6" s="58"/>
      <c r="K6" s="58"/>
      <c r="L6" s="58"/>
      <c r="M6" s="58"/>
      <c r="N6" s="58"/>
      <c r="O6" s="58"/>
      <c r="P6" s="58"/>
      <c r="Q6" s="58"/>
      <c r="R6" s="58"/>
      <c r="S6" s="58"/>
      <c r="T6" s="58">
        <v>0</v>
      </c>
    </row>
    <row r="7" spans="1:20" x14ac:dyDescent="0.25">
      <c r="A7" s="2">
        <v>13055</v>
      </c>
      <c r="B7" s="3" t="str" cm="1">
        <f t="array" ref="B7">INDEX(T_Info[],MATCH(T_MLD[[#This Row],[Codigo]],T_Info[Codigo],0),COLUMN(T_Info[Proyecto]))</f>
        <v>Talaveras</v>
      </c>
      <c r="C7" s="2" t="str" cm="1">
        <f t="array" ref="C7">INDEX(T_Info[],MATCH(T_MLD[[#This Row],[Codigo]],T_Info[Codigo],0),COLUMN(T_Info[T.S]))</f>
        <v>B</v>
      </c>
      <c r="D7" s="2" cm="1">
        <f t="array" ref="D7">INDEX(T_Info[],MATCH(T_MLD[[#This Row],[Codigo]],T_Info[Codigo],0),COLUMN(T_Info[Z.S]))</f>
        <v>2</v>
      </c>
      <c r="E7" s="2" cm="1">
        <f t="array" ref="E7">INDEX(T_Info[],MATCH(T_MLD[[#This Row],[Codigo]],T_Info[Codigo],0),COLUMN(T_Info[Pisos]))</f>
        <v>21</v>
      </c>
      <c r="F7" s="2" cm="1">
        <f t="array" ref="F7">INDEX(T_Info[],MATCH(T_MLD[[#This Row],[Codigo]],T_Info[Codigo],0),COLUMN(T_Info[Subt.]))</f>
        <v>4</v>
      </c>
      <c r="G7" s="26" cm="1">
        <f t="array" ref="G7">INDEX(T_Info[],MATCH(T_MLD[[#This Row],[Codigo]],T_Info[Codigo],0),COLUMN(T_Info[Superficie m2]))</f>
        <v>25900</v>
      </c>
      <c r="H7" s="2" t="str" cm="1">
        <f t="array" ref="H7">IF(INDEX(T_Info[],MATCH(T_MLD[[#This Row],[Codigo]],T_Info[Codigo],0),COLUMN(T_Info[Postensado]))&lt;&gt;"",INDEX(T_Info[],MATCH(T_MLD[[#This Row],[Codigo]],T_Info[Codigo],0),COLUMN(T_Info[Postensado])),"")</f>
        <v/>
      </c>
      <c r="I7" s="2" t="str" cm="1">
        <f t="array" ref="I7">IF(INDEX(T_Info[],MATCH(T_MLD[[#This Row],[Codigo]],T_Info[Codigo],0),COLUMN(T_Info[Losa Fundación]))&lt;&gt;"",INDEX(T_Info[],MATCH(T_MLD[[#This Row],[Codigo]],T_Info[Codigo],0),COLUMN(T_Info[Losa Fundación])),"")</f>
        <v/>
      </c>
      <c r="J7" s="58"/>
      <c r="K7" s="58"/>
      <c r="L7" s="58"/>
      <c r="M7" s="58"/>
      <c r="N7" s="58"/>
      <c r="O7" s="58"/>
      <c r="P7" s="58"/>
      <c r="Q7" s="58"/>
      <c r="R7" s="58"/>
      <c r="S7" s="58"/>
      <c r="T7" s="58">
        <v>0</v>
      </c>
    </row>
    <row r="8" spans="1:20" x14ac:dyDescent="0.25">
      <c r="A8" s="2">
        <v>13091</v>
      </c>
      <c r="B8" s="3" t="str" cm="1">
        <f t="array" ref="B8">INDEX(T_Info[],MATCH(T_MLD[[#This Row],[Codigo]],T_Info[Codigo],0),COLUMN(T_Info[Proyecto]))</f>
        <v>Lyon Bustos</v>
      </c>
      <c r="C8" s="2" t="str" cm="1">
        <f t="array" ref="C8">INDEX(T_Info[],MATCH(T_MLD[[#This Row],[Codigo]],T_Info[Codigo],0),COLUMN(T_Info[T.S]))</f>
        <v>B</v>
      </c>
      <c r="D8" s="2" cm="1">
        <f t="array" ref="D8">INDEX(T_Info[],MATCH(T_MLD[[#This Row],[Codigo]],T_Info[Codigo],0),COLUMN(T_Info[Z.S]))</f>
        <v>2</v>
      </c>
      <c r="E8" s="2" cm="1">
        <f t="array" ref="E8">INDEX(T_Info[],MATCH(T_MLD[[#This Row],[Codigo]],T_Info[Codigo],0),COLUMN(T_Info[Pisos]))</f>
        <v>12</v>
      </c>
      <c r="F8" s="2" cm="1">
        <f t="array" ref="F8">INDEX(T_Info[],MATCH(T_MLD[[#This Row],[Codigo]],T_Info[Codigo],0),COLUMN(T_Info[Subt.]))</f>
        <v>2</v>
      </c>
      <c r="G8" s="26" cm="1">
        <f t="array" ref="G8">INDEX(T_Info[],MATCH(T_MLD[[#This Row],[Codigo]],T_Info[Codigo],0),COLUMN(T_Info[Superficie m2]))</f>
        <v>14115</v>
      </c>
      <c r="H8" s="2" t="str" cm="1">
        <f t="array" ref="H8">IF(INDEX(T_Info[],MATCH(T_MLD[[#This Row],[Codigo]],T_Info[Codigo],0),COLUMN(T_Info[Postensado]))&lt;&gt;"",INDEX(T_Info[],MATCH(T_MLD[[#This Row],[Codigo]],T_Info[Codigo],0),COLUMN(T_Info[Postensado])),"")</f>
        <v/>
      </c>
      <c r="I8" s="2" t="str" cm="1">
        <f t="array" ref="I8">IF(INDEX(T_Info[],MATCH(T_MLD[[#This Row],[Codigo]],T_Info[Codigo],0),COLUMN(T_Info[Losa Fundación]))&lt;&gt;"",INDEX(T_Info[],MATCH(T_MLD[[#This Row],[Codigo]],T_Info[Codigo],0),COLUMN(T_Info[Losa Fundación])),"")</f>
        <v/>
      </c>
      <c r="J8" s="58"/>
      <c r="K8" s="58"/>
      <c r="L8" s="58"/>
      <c r="M8" s="58"/>
      <c r="N8" s="58"/>
      <c r="O8" s="58"/>
      <c r="P8" s="58"/>
      <c r="Q8" s="58"/>
      <c r="R8" s="58"/>
      <c r="S8" s="58"/>
      <c r="T8" s="58">
        <v>0</v>
      </c>
    </row>
    <row r="9" spans="1:20" x14ac:dyDescent="0.25">
      <c r="A9" s="2">
        <v>13117</v>
      </c>
      <c r="B9" s="3" t="str" cm="1">
        <f t="array" ref="B9">INDEX(T_Info[],MATCH(T_MLD[[#This Row],[Codigo]],T_Info[Codigo],0),COLUMN(T_Info[Proyecto]))</f>
        <v>Bartolo Soto</v>
      </c>
      <c r="C9" s="2" t="str" cm="1">
        <f t="array" ref="C9">INDEX(T_Info[],MATCH(T_MLD[[#This Row],[Codigo]],T_Info[Codigo],0),COLUMN(T_Info[T.S]))</f>
        <v>B</v>
      </c>
      <c r="D9" s="2" cm="1">
        <f t="array" ref="D9">INDEX(T_Info[],MATCH(T_MLD[[#This Row],[Codigo]],T_Info[Codigo],0),COLUMN(T_Info[Z.S]))</f>
        <v>2</v>
      </c>
      <c r="E9" s="2" cm="1">
        <f t="array" ref="E9">INDEX(T_Info[],MATCH(T_MLD[[#This Row],[Codigo]],T_Info[Codigo],0),COLUMN(T_Info[Pisos]))</f>
        <v>18</v>
      </c>
      <c r="F9" s="2" cm="1">
        <f t="array" ref="F9">INDEX(T_Info[],MATCH(T_MLD[[#This Row],[Codigo]],T_Info[Codigo],0),COLUMN(T_Info[Subt.]))</f>
        <v>3</v>
      </c>
      <c r="G9" s="26" cm="1">
        <f t="array" ref="G9">INDEX(T_Info[],MATCH(T_MLD[[#This Row],[Codigo]],T_Info[Codigo],0),COLUMN(T_Info[Superficie m2]))</f>
        <v>22577</v>
      </c>
      <c r="H9" s="2" t="str" cm="1">
        <f t="array" ref="H9">IF(INDEX(T_Info[],MATCH(T_MLD[[#This Row],[Codigo]],T_Info[Codigo],0),COLUMN(T_Info[Postensado]))&lt;&gt;"",INDEX(T_Info[],MATCH(T_MLD[[#This Row],[Codigo]],T_Info[Codigo],0),COLUMN(T_Info[Postensado])),"")</f>
        <v/>
      </c>
      <c r="I9" s="2" t="str" cm="1">
        <f t="array" ref="I9">IF(INDEX(T_Info[],MATCH(T_MLD[[#This Row],[Codigo]],T_Info[Codigo],0),COLUMN(T_Info[Losa Fundación]))&lt;&gt;"",INDEX(T_Info[],MATCH(T_MLD[[#This Row],[Codigo]],T_Info[Codigo],0),COLUMN(T_Info[Losa Fundación])),"")</f>
        <v/>
      </c>
      <c r="J9" s="58"/>
      <c r="K9" s="58"/>
      <c r="L9" s="58"/>
      <c r="M9" s="58"/>
      <c r="N9" s="58"/>
      <c r="O9" s="58"/>
      <c r="P9" s="58"/>
      <c r="Q9" s="58"/>
      <c r="R9" s="58"/>
      <c r="S9" s="58"/>
      <c r="T9" s="58">
        <v>0</v>
      </c>
    </row>
    <row r="10" spans="1:20" x14ac:dyDescent="0.25">
      <c r="A10" s="2">
        <v>13119</v>
      </c>
      <c r="B10" s="3" t="str" cm="1">
        <f t="array" ref="B10">INDEX(T_Info[],MATCH(T_MLD[[#This Row],[Codigo]],T_Info[Codigo],0),COLUMN(T_Info[Proyecto]))</f>
        <v>Portugal</v>
      </c>
      <c r="C10" s="2" t="str" cm="1">
        <f t="array" ref="C10">INDEX(T_Info[],MATCH(T_MLD[[#This Row],[Codigo]],T_Info[Codigo],0),COLUMN(T_Info[T.S]))</f>
        <v>B</v>
      </c>
      <c r="D10" s="2" cm="1">
        <f t="array" ref="D10">INDEX(T_Info[],MATCH(T_MLD[[#This Row],[Codigo]],T_Info[Codigo],0),COLUMN(T_Info[Z.S]))</f>
        <v>2</v>
      </c>
      <c r="E10" s="2" cm="1">
        <f t="array" ref="E10">INDEX(T_Info[],MATCH(T_MLD[[#This Row],[Codigo]],T_Info[Codigo],0),COLUMN(T_Info[Pisos]))</f>
        <v>20</v>
      </c>
      <c r="F10" s="2" cm="1">
        <f t="array" ref="F10">INDEX(T_Info[],MATCH(T_MLD[[#This Row],[Codigo]],T_Info[Codigo],0),COLUMN(T_Info[Subt.]))</f>
        <v>3</v>
      </c>
      <c r="G10" s="26" cm="1">
        <f t="array" ref="G10">INDEX(T_Info[],MATCH(T_MLD[[#This Row],[Codigo]],T_Info[Codigo],0),COLUMN(T_Info[Superficie m2]))</f>
        <v>17646</v>
      </c>
      <c r="H10" s="2" t="str" cm="1">
        <f t="array" ref="H10">IF(INDEX(T_Info[],MATCH(T_MLD[[#This Row],[Codigo]],T_Info[Codigo],0),COLUMN(T_Info[Postensado]))&lt;&gt;"",INDEX(T_Info[],MATCH(T_MLD[[#This Row],[Codigo]],T_Info[Codigo],0),COLUMN(T_Info[Postensado])),"")</f>
        <v/>
      </c>
      <c r="I10" s="2" t="str" cm="1">
        <f t="array" ref="I10">IF(INDEX(T_Info[],MATCH(T_MLD[[#This Row],[Codigo]],T_Info[Codigo],0),COLUMN(T_Info[Losa Fundación]))&lt;&gt;"",INDEX(T_Info[],MATCH(T_MLD[[#This Row],[Codigo]],T_Info[Codigo],0),COLUMN(T_Info[Losa Fundación])),"")</f>
        <v/>
      </c>
      <c r="J10" s="58"/>
      <c r="K10" s="58"/>
      <c r="L10" s="58"/>
      <c r="M10" s="58"/>
      <c r="N10" s="58"/>
      <c r="O10" s="58"/>
      <c r="P10" s="58"/>
      <c r="Q10" s="58"/>
      <c r="R10" s="58"/>
      <c r="S10" s="58"/>
      <c r="T10" s="58">
        <v>0</v>
      </c>
    </row>
    <row r="11" spans="1:20" x14ac:dyDescent="0.25">
      <c r="A11" s="2">
        <v>14023</v>
      </c>
      <c r="B11" s="3" t="str" cm="1">
        <f t="array" ref="B11">INDEX(T_Info[],MATCH(T_MLD[[#This Row],[Codigo]],T_Info[Codigo],0),COLUMN(T_Info[Proyecto]))</f>
        <v>Plaza Almeyda</v>
      </c>
      <c r="C11" s="2" t="str" cm="1">
        <f t="array" ref="C11">INDEX(T_Info[],MATCH(T_MLD[[#This Row],[Codigo]],T_Info[Codigo],0),COLUMN(T_Info[T.S]))</f>
        <v>C</v>
      </c>
      <c r="D11" s="2" cm="1">
        <f t="array" ref="D11">INDEX(T_Info[],MATCH(T_MLD[[#This Row],[Codigo]],T_Info[Codigo],0),COLUMN(T_Info[Z.S]))</f>
        <v>2</v>
      </c>
      <c r="E11" s="2" cm="1">
        <f t="array" ref="E11">INDEX(T_Info[],MATCH(T_MLD[[#This Row],[Codigo]],T_Info[Codigo],0),COLUMN(T_Info[Pisos]))</f>
        <v>5</v>
      </c>
      <c r="F11" s="2" cm="1">
        <f t="array" ref="F11">INDEX(T_Info[],MATCH(T_MLD[[#This Row],[Codigo]],T_Info[Codigo],0),COLUMN(T_Info[Subt.]))</f>
        <v>3</v>
      </c>
      <c r="G11" s="26" cm="1">
        <f t="array" ref="G11">INDEX(T_Info[],MATCH(T_MLD[[#This Row],[Codigo]],T_Info[Codigo],0),COLUMN(T_Info[Superficie m2]))</f>
        <v>13695</v>
      </c>
      <c r="H11" s="2" t="str" cm="1">
        <f t="array" ref="H11">IF(INDEX(T_Info[],MATCH(T_MLD[[#This Row],[Codigo]],T_Info[Codigo],0),COLUMN(T_Info[Postensado]))&lt;&gt;"",INDEX(T_Info[],MATCH(T_MLD[[#This Row],[Codigo]],T_Info[Codigo],0),COLUMN(T_Info[Postensado])),"")</f>
        <v/>
      </c>
      <c r="I11" s="2" t="str" cm="1">
        <f t="array" ref="I11">IF(INDEX(T_Info[],MATCH(T_MLD[[#This Row],[Codigo]],T_Info[Codigo],0),COLUMN(T_Info[Losa Fundación]))&lt;&gt;"",INDEX(T_Info[],MATCH(T_MLD[[#This Row],[Codigo]],T_Info[Codigo],0),COLUMN(T_Info[Losa Fundación])),"")</f>
        <v/>
      </c>
      <c r="J11" s="58"/>
      <c r="K11" s="58"/>
      <c r="L11" s="58"/>
      <c r="M11" s="58"/>
      <c r="N11" s="58"/>
      <c r="O11" s="58"/>
      <c r="P11" s="58"/>
      <c r="Q11" s="58"/>
      <c r="R11" s="58"/>
      <c r="S11" s="58"/>
      <c r="T11" s="58">
        <v>0</v>
      </c>
    </row>
    <row r="12" spans="1:20" x14ac:dyDescent="0.25">
      <c r="A12" s="2">
        <v>14040</v>
      </c>
      <c r="B12" s="3" t="str" cm="1">
        <f t="array" ref="B12">INDEX(T_Info[],MATCH(T_MLD[[#This Row],[Codigo]],T_Info[Codigo],0),COLUMN(T_Info[Proyecto]))</f>
        <v>Freire</v>
      </c>
      <c r="C12" s="2" t="str" cm="1">
        <f t="array" ref="C12">INDEX(T_Info[],MATCH(T_MLD[[#This Row],[Codigo]],T_Info[Codigo],0),COLUMN(T_Info[T.S]))</f>
        <v>D</v>
      </c>
      <c r="D12" s="2" cm="1">
        <f t="array" ref="D12">INDEX(T_Info[],MATCH(T_MLD[[#This Row],[Codigo]],T_Info[Codigo],0),COLUMN(T_Info[Z.S]))</f>
        <v>3</v>
      </c>
      <c r="E12" s="2" cm="1">
        <f t="array" ref="E12">INDEX(T_Info[],MATCH(T_MLD[[#This Row],[Codigo]],T_Info[Codigo],0),COLUMN(T_Info[Pisos]))</f>
        <v>24</v>
      </c>
      <c r="F12" s="2" cm="1">
        <f t="array" ref="F12">INDEX(T_Info[],MATCH(T_MLD[[#This Row],[Codigo]],T_Info[Codigo],0),COLUMN(T_Info[Subt.]))</f>
        <v>2</v>
      </c>
      <c r="G12" s="26" cm="1">
        <f t="array" ref="G12">INDEX(T_Info[],MATCH(T_MLD[[#This Row],[Codigo]],T_Info[Codigo],0),COLUMN(T_Info[Superficie m2]))</f>
        <v>15443</v>
      </c>
      <c r="H12" s="2" t="str" cm="1">
        <f t="array" ref="H12">IF(INDEX(T_Info[],MATCH(T_MLD[[#This Row],[Codigo]],T_Info[Codigo],0),COLUMN(T_Info[Postensado]))&lt;&gt;"",INDEX(T_Info[],MATCH(T_MLD[[#This Row],[Codigo]],T_Info[Codigo],0),COLUMN(T_Info[Postensado])),"")</f>
        <v/>
      </c>
      <c r="I12" s="2" t="str" cm="1">
        <f t="array" ref="I12">IF(INDEX(T_Info[],MATCH(T_MLD[[#This Row],[Codigo]],T_Info[Codigo],0),COLUMN(T_Info[Losa Fundación]))&lt;&gt;"",INDEX(T_Info[],MATCH(T_MLD[[#This Row],[Codigo]],T_Info[Codigo],0),COLUMN(T_Info[Losa Fundación])),"")</f>
        <v/>
      </c>
      <c r="J12" s="58"/>
      <c r="K12" s="58"/>
      <c r="L12" s="58"/>
      <c r="M12" s="58"/>
      <c r="N12" s="58"/>
      <c r="O12" s="58"/>
      <c r="P12" s="58"/>
      <c r="Q12" s="58"/>
      <c r="R12" s="58"/>
      <c r="S12" s="58"/>
      <c r="T12" s="58">
        <v>0</v>
      </c>
    </row>
    <row r="13" spans="1:20" x14ac:dyDescent="0.25">
      <c r="A13" s="2">
        <v>14077</v>
      </c>
      <c r="B13" s="3" t="str" cm="1">
        <f t="array" ref="B13">INDEX(T_Info[],MATCH(T_MLD[[#This Row],[Codigo]],T_Info[Codigo],0),COLUMN(T_Info[Proyecto]))</f>
        <v>Jose D Cañas</v>
      </c>
      <c r="C13" s="2" t="str" cm="1">
        <f t="array" ref="C13">INDEX(T_Info[],MATCH(T_MLD[[#This Row],[Codigo]],T_Info[Codigo],0),COLUMN(T_Info[T.S]))</f>
        <v>B</v>
      </c>
      <c r="D13" s="2" cm="1">
        <f t="array" ref="D13">INDEX(T_Info[],MATCH(T_MLD[[#This Row],[Codigo]],T_Info[Codigo],0),COLUMN(T_Info[Z.S]))</f>
        <v>2</v>
      </c>
      <c r="E13" s="2" cm="1">
        <f t="array" ref="E13">INDEX(T_Info[],MATCH(T_MLD[[#This Row],[Codigo]],T_Info[Codigo],0),COLUMN(T_Info[Pisos]))</f>
        <v>14</v>
      </c>
      <c r="F13" s="2" cm="1">
        <f t="array" ref="F13">INDEX(T_Info[],MATCH(T_MLD[[#This Row],[Codigo]],T_Info[Codigo],0),COLUMN(T_Info[Subt.]))</f>
        <v>2</v>
      </c>
      <c r="G13" s="26" cm="1">
        <f t="array" ref="G13">INDEX(T_Info[],MATCH(T_MLD[[#This Row],[Codigo]],T_Info[Codigo],0),COLUMN(T_Info[Superficie m2]))</f>
        <v>14752</v>
      </c>
      <c r="H13" s="2" t="str" cm="1">
        <f t="array" ref="H13">IF(INDEX(T_Info[],MATCH(T_MLD[[#This Row],[Codigo]],T_Info[Codigo],0),COLUMN(T_Info[Postensado]))&lt;&gt;"",INDEX(T_Info[],MATCH(T_MLD[[#This Row],[Codigo]],T_Info[Codigo],0),COLUMN(T_Info[Postensado])),"")</f>
        <v/>
      </c>
      <c r="I13" s="2" t="str" cm="1">
        <f t="array" ref="I13">IF(INDEX(T_Info[],MATCH(T_MLD[[#This Row],[Codigo]],T_Info[Codigo],0),COLUMN(T_Info[Losa Fundación]))&lt;&gt;"",INDEX(T_Info[],MATCH(T_MLD[[#This Row],[Codigo]],T_Info[Codigo],0),COLUMN(T_Info[Losa Fundación])),"")</f>
        <v/>
      </c>
      <c r="J13" s="58"/>
      <c r="K13" s="58"/>
      <c r="L13" s="58"/>
      <c r="M13" s="58"/>
      <c r="N13" s="58"/>
      <c r="O13" s="58"/>
      <c r="P13" s="58"/>
      <c r="Q13" s="58"/>
      <c r="R13" s="58"/>
      <c r="S13" s="58"/>
      <c r="T13" s="58">
        <v>0</v>
      </c>
    </row>
    <row r="14" spans="1:20" x14ac:dyDescent="0.25">
      <c r="A14" s="2">
        <v>14088</v>
      </c>
      <c r="B14" s="3" t="str" cm="1">
        <f t="array" ref="B14">INDEX(T_Info[],MATCH(T_MLD[[#This Row],[Codigo]],T_Info[Codigo],0),COLUMN(T_Info[Proyecto]))</f>
        <v>Blest Gana</v>
      </c>
      <c r="C14" s="2" t="str" cm="1">
        <f t="array" ref="C14">INDEX(T_Info[],MATCH(T_MLD[[#This Row],[Codigo]],T_Info[Codigo],0),COLUMN(T_Info[T.S]))</f>
        <v>D</v>
      </c>
      <c r="D14" s="2" cm="1">
        <f t="array" ref="D14">INDEX(T_Info[],MATCH(T_MLD[[#This Row],[Codigo]],T_Info[Codigo],0),COLUMN(T_Info[Z.S]))</f>
        <v>2</v>
      </c>
      <c r="E14" s="2" cm="1">
        <f t="array" ref="E14">INDEX(T_Info[],MATCH(T_MLD[[#This Row],[Codigo]],T_Info[Codigo],0),COLUMN(T_Info[Pisos]))</f>
        <v>18</v>
      </c>
      <c r="F14" s="2" cm="1">
        <f t="array" ref="F14">INDEX(T_Info[],MATCH(T_MLD[[#This Row],[Codigo]],T_Info[Codigo],0),COLUMN(T_Info[Subt.]))</f>
        <v>2</v>
      </c>
      <c r="G14" s="26" cm="1">
        <f t="array" ref="G14">INDEX(T_Info[],MATCH(T_MLD[[#This Row],[Codigo]],T_Info[Codigo],0),COLUMN(T_Info[Superficie m2]))</f>
        <v>14649</v>
      </c>
      <c r="H14" s="2" t="str" cm="1">
        <f t="array" ref="H14">IF(INDEX(T_Info[],MATCH(T_MLD[[#This Row],[Codigo]],T_Info[Codigo],0),COLUMN(T_Info[Postensado]))&lt;&gt;"",INDEX(T_Info[],MATCH(T_MLD[[#This Row],[Codigo]],T_Info[Codigo],0),COLUMN(T_Info[Postensado])),"")</f>
        <v/>
      </c>
      <c r="I14" s="2" t="str" cm="1">
        <f t="array" ref="I14">IF(INDEX(T_Info[],MATCH(T_MLD[[#This Row],[Codigo]],T_Info[Codigo],0),COLUMN(T_Info[Losa Fundación]))&lt;&gt;"",INDEX(T_Info[],MATCH(T_MLD[[#This Row],[Codigo]],T_Info[Codigo],0),COLUMN(T_Info[Losa Fundación])),"")</f>
        <v/>
      </c>
      <c r="J14" s="58"/>
      <c r="K14" s="58"/>
      <c r="L14" s="58"/>
      <c r="M14" s="58"/>
      <c r="N14" s="58"/>
      <c r="O14" s="58"/>
      <c r="P14" s="58"/>
      <c r="Q14" s="58"/>
      <c r="R14" s="58"/>
      <c r="S14" s="58"/>
      <c r="T14" s="58">
        <v>0</v>
      </c>
    </row>
    <row r="15" spans="1:20" x14ac:dyDescent="0.25">
      <c r="A15" s="2">
        <v>14097</v>
      </c>
      <c r="B15" s="3" t="str" cm="1">
        <f t="array" ref="B15">INDEX(T_Info[],MATCH(T_MLD[[#This Row],[Codigo]],T_Info[Codigo],0),COLUMN(T_Info[Proyecto]))</f>
        <v>Bello Horizonte II</v>
      </c>
      <c r="C15" s="2" t="str" cm="1">
        <f t="array" ref="C15">INDEX(T_Info[],MATCH(T_MLD[[#This Row],[Codigo]],T_Info[Codigo],0),COLUMN(T_Info[T.S]))</f>
        <v>B</v>
      </c>
      <c r="D15" s="2" cm="1">
        <f t="array" ref="D15">INDEX(T_Info[],MATCH(T_MLD[[#This Row],[Codigo]],T_Info[Codigo],0),COLUMN(T_Info[Z.S]))</f>
        <v>2</v>
      </c>
      <c r="E15" s="2" cm="1">
        <f t="array" ref="E15">INDEX(T_Info[],MATCH(T_MLD[[#This Row],[Codigo]],T_Info[Codigo],0),COLUMN(T_Info[Pisos]))</f>
        <v>9</v>
      </c>
      <c r="F15" s="2" cm="1">
        <f t="array" ref="F15">INDEX(T_Info[],MATCH(T_MLD[[#This Row],[Codigo]],T_Info[Codigo],0),COLUMN(T_Info[Subt.]))</f>
        <v>2</v>
      </c>
      <c r="G15" s="26" cm="1">
        <f t="array" ref="G15">INDEX(T_Info[],MATCH(T_MLD[[#This Row],[Codigo]],T_Info[Codigo],0),COLUMN(T_Info[Superficie m2]))</f>
        <v>10798</v>
      </c>
      <c r="H15" s="2" t="str" cm="1">
        <f t="array" ref="H15">IF(INDEX(T_Info[],MATCH(T_MLD[[#This Row],[Codigo]],T_Info[Codigo],0),COLUMN(T_Info[Postensado]))&lt;&gt;"",INDEX(T_Info[],MATCH(T_MLD[[#This Row],[Codigo]],T_Info[Codigo],0),COLUMN(T_Info[Postensado])),"")</f>
        <v/>
      </c>
      <c r="I15" s="2" t="str" cm="1">
        <f t="array" ref="I15">IF(INDEX(T_Info[],MATCH(T_MLD[[#This Row],[Codigo]],T_Info[Codigo],0),COLUMN(T_Info[Losa Fundación]))&lt;&gt;"",INDEX(T_Info[],MATCH(T_MLD[[#This Row],[Codigo]],T_Info[Codigo],0),COLUMN(T_Info[Losa Fundación])),"")</f>
        <v/>
      </c>
      <c r="J15" s="58"/>
      <c r="K15" s="58"/>
      <c r="L15" s="58"/>
      <c r="M15" s="58"/>
      <c r="N15" s="58"/>
      <c r="O15" s="58"/>
      <c r="P15" s="58"/>
      <c r="Q15" s="58"/>
      <c r="R15" s="58"/>
      <c r="S15" s="58"/>
      <c r="T15" s="58">
        <v>0</v>
      </c>
    </row>
    <row r="16" spans="1:20" x14ac:dyDescent="0.25">
      <c r="A16" s="2">
        <v>14134</v>
      </c>
      <c r="B16" s="3" t="str" cm="1">
        <f t="array" ref="B16">INDEX(T_Info[],MATCH(T_MLD[[#This Row],[Codigo]],T_Info[Codigo],0),COLUMN(T_Info[Proyecto]))</f>
        <v>Ocoa</v>
      </c>
      <c r="C16" s="2" t="str" cm="1">
        <f t="array" ref="C16">INDEX(T_Info[],MATCH(T_MLD[[#This Row],[Codigo]],T_Info[Codigo],0),COLUMN(T_Info[T.S]))</f>
        <v>C</v>
      </c>
      <c r="D16" s="2" cm="1">
        <f t="array" ref="D16">INDEX(T_Info[],MATCH(T_MLD[[#This Row],[Codigo]],T_Info[Codigo],0),COLUMN(T_Info[Z.S]))</f>
        <v>3</v>
      </c>
      <c r="E16" s="2" cm="1">
        <f t="array" ref="E16">INDEX(T_Info[],MATCH(T_MLD[[#This Row],[Codigo]],T_Info[Codigo],0),COLUMN(T_Info[Pisos]))</f>
        <v>17</v>
      </c>
      <c r="F16" s="2" cm="1">
        <f t="array" ref="F16">INDEX(T_Info[],MATCH(T_MLD[[#This Row],[Codigo]],T_Info[Codigo],0),COLUMN(T_Info[Subt.]))</f>
        <v>2</v>
      </c>
      <c r="G16" s="26" cm="1">
        <f t="array" ref="G16">INDEX(T_Info[],MATCH(T_MLD[[#This Row],[Codigo]],T_Info[Codigo],0),COLUMN(T_Info[Superficie m2]))</f>
        <v>16835</v>
      </c>
      <c r="H16" s="2" t="str" cm="1">
        <f t="array" ref="H16">IF(INDEX(T_Info[],MATCH(T_MLD[[#This Row],[Codigo]],T_Info[Codigo],0),COLUMN(T_Info[Postensado]))&lt;&gt;"",INDEX(T_Info[],MATCH(T_MLD[[#This Row],[Codigo]],T_Info[Codigo],0),COLUMN(T_Info[Postensado])),"")</f>
        <v/>
      </c>
      <c r="I16" s="2" t="str" cm="1">
        <f t="array" ref="I16">IF(INDEX(T_Info[],MATCH(T_MLD[[#This Row],[Codigo]],T_Info[Codigo],0),COLUMN(T_Info[Losa Fundación]))&lt;&gt;"",INDEX(T_Info[],MATCH(T_MLD[[#This Row],[Codigo]],T_Info[Codigo],0),COLUMN(T_Info[Losa Fundación])),"")</f>
        <v/>
      </c>
      <c r="J16" s="58"/>
      <c r="K16" s="58"/>
      <c r="L16" s="58"/>
      <c r="M16" s="58"/>
      <c r="N16" s="58"/>
      <c r="O16" s="58"/>
      <c r="P16" s="58"/>
      <c r="Q16" s="58"/>
      <c r="R16" s="58"/>
      <c r="S16" s="58"/>
      <c r="T16" s="58">
        <v>0</v>
      </c>
    </row>
    <row r="17" spans="1:20" x14ac:dyDescent="0.25">
      <c r="A17" s="2">
        <v>15001</v>
      </c>
      <c r="B17" s="3" t="str" cm="1">
        <f t="array" ref="B17">INDEX(T_Info[],MATCH(T_MLD[[#This Row],[Codigo]],T_Info[Codigo],0),COLUMN(T_Info[Proyecto]))</f>
        <v>Nercasseaux</v>
      </c>
      <c r="C17" s="2" t="str" cm="1">
        <f t="array" ref="C17">INDEX(T_Info[],MATCH(T_MLD[[#This Row],[Codigo]],T_Info[Codigo],0),COLUMN(T_Info[T.S]))</f>
        <v>B</v>
      </c>
      <c r="D17" s="2" cm="1">
        <f t="array" ref="D17">INDEX(T_Info[],MATCH(T_MLD[[#This Row],[Codigo]],T_Info[Codigo],0),COLUMN(T_Info[Z.S]))</f>
        <v>2</v>
      </c>
      <c r="E17" s="2" cm="1">
        <f t="array" ref="E17">INDEX(T_Info[],MATCH(T_MLD[[#This Row],[Codigo]],T_Info[Codigo],0),COLUMN(T_Info[Pisos]))</f>
        <v>11</v>
      </c>
      <c r="F17" s="2" cm="1">
        <f t="array" ref="F17">INDEX(T_Info[],MATCH(T_MLD[[#This Row],[Codigo]],T_Info[Codigo],0),COLUMN(T_Info[Subt.]))</f>
        <v>2</v>
      </c>
      <c r="G17" s="26" cm="1">
        <f t="array" ref="G17">INDEX(T_Info[],MATCH(T_MLD[[#This Row],[Codigo]],T_Info[Codigo],0),COLUMN(T_Info[Superficie m2]))</f>
        <v>10981</v>
      </c>
      <c r="H17" s="2" t="str" cm="1">
        <f t="array" ref="H17">IF(INDEX(T_Info[],MATCH(T_MLD[[#This Row],[Codigo]],T_Info[Codigo],0),COLUMN(T_Info[Postensado]))&lt;&gt;"",INDEX(T_Info[],MATCH(T_MLD[[#This Row],[Codigo]],T_Info[Codigo],0),COLUMN(T_Info[Postensado])),"")</f>
        <v/>
      </c>
      <c r="I17" s="2" t="str" cm="1">
        <f t="array" ref="I17">IF(INDEX(T_Info[],MATCH(T_MLD[[#This Row],[Codigo]],T_Info[Codigo],0),COLUMN(T_Info[Losa Fundación]))&lt;&gt;"",INDEX(T_Info[],MATCH(T_MLD[[#This Row],[Codigo]],T_Info[Codigo],0),COLUMN(T_Info[Losa Fundación])),"")</f>
        <v/>
      </c>
      <c r="J17" s="58"/>
      <c r="K17" s="58"/>
      <c r="L17" s="58"/>
      <c r="M17" s="58"/>
      <c r="N17" s="58"/>
      <c r="O17" s="58"/>
      <c r="P17" s="58"/>
      <c r="Q17" s="58"/>
      <c r="R17" s="58"/>
      <c r="S17" s="58"/>
      <c r="T17" s="58">
        <v>0</v>
      </c>
    </row>
    <row r="18" spans="1:20" x14ac:dyDescent="0.25">
      <c r="A18" s="2">
        <v>15007</v>
      </c>
      <c r="B18" s="3" t="str" cm="1">
        <f t="array" ref="B18">INDEX(T_Info[],MATCH(T_MLD[[#This Row],[Codigo]],T_Info[Codigo],0),COLUMN(T_Info[Proyecto]))</f>
        <v>Valencia</v>
      </c>
      <c r="C18" s="2" t="str" cm="1">
        <f t="array" ref="C18">INDEX(T_Info[],MATCH(T_MLD[[#This Row],[Codigo]],T_Info[Codigo],0),COLUMN(T_Info[T.S]))</f>
        <v>B</v>
      </c>
      <c r="D18" s="2" cm="1">
        <f t="array" ref="D18">INDEX(T_Info[],MATCH(T_MLD[[#This Row],[Codigo]],T_Info[Codigo],0),COLUMN(T_Info[Z.S]))</f>
        <v>2</v>
      </c>
      <c r="E18" s="2" cm="1">
        <f t="array" ref="E18">INDEX(T_Info[],MATCH(T_MLD[[#This Row],[Codigo]],T_Info[Codigo],0),COLUMN(T_Info[Pisos]))</f>
        <v>7</v>
      </c>
      <c r="F18" s="2" cm="1">
        <f t="array" ref="F18">INDEX(T_Info[],MATCH(T_MLD[[#This Row],[Codigo]],T_Info[Codigo],0),COLUMN(T_Info[Subt.]))</f>
        <v>2</v>
      </c>
      <c r="G18" s="26" cm="1">
        <f t="array" ref="G18">INDEX(T_Info[],MATCH(T_MLD[[#This Row],[Codigo]],T_Info[Codigo],0),COLUMN(T_Info[Superficie m2]))</f>
        <v>12355</v>
      </c>
      <c r="H18" s="2" t="str" cm="1">
        <f t="array" ref="H18">IF(INDEX(T_Info[],MATCH(T_MLD[[#This Row],[Codigo]],T_Info[Codigo],0),COLUMN(T_Info[Postensado]))&lt;&gt;"",INDEX(T_Info[],MATCH(T_MLD[[#This Row],[Codigo]],T_Info[Codigo],0),COLUMN(T_Info[Postensado])),"")</f>
        <v/>
      </c>
      <c r="I18" s="2" t="str" cm="1">
        <f t="array" ref="I18">IF(INDEX(T_Info[],MATCH(T_MLD[[#This Row],[Codigo]],T_Info[Codigo],0),COLUMN(T_Info[Losa Fundación]))&lt;&gt;"",INDEX(T_Info[],MATCH(T_MLD[[#This Row],[Codigo]],T_Info[Codigo],0),COLUMN(T_Info[Losa Fundación])),"")</f>
        <v/>
      </c>
      <c r="J18" s="58"/>
      <c r="K18" s="58"/>
      <c r="L18" s="58"/>
      <c r="M18" s="58"/>
      <c r="N18" s="58"/>
      <c r="O18" s="58"/>
      <c r="P18" s="58"/>
      <c r="Q18" s="58"/>
      <c r="R18" s="58"/>
      <c r="S18" s="58"/>
      <c r="T18" s="58">
        <v>0</v>
      </c>
    </row>
    <row r="19" spans="1:20" x14ac:dyDescent="0.25">
      <c r="A19" s="2">
        <v>15044</v>
      </c>
      <c r="B19" s="3" t="str" cm="1">
        <f t="array" ref="B19">INDEX(T_Info[],MATCH(T_MLD[[#This Row],[Codigo]],T_Info[Codigo],0),COLUMN(T_Info[Proyecto]))</f>
        <v>Montenegro</v>
      </c>
      <c r="C19" s="2" t="str" cm="1">
        <f t="array" ref="C19">INDEX(T_Info[],MATCH(T_MLD[[#This Row],[Codigo]],T_Info[Codigo],0),COLUMN(T_Info[T.S]))</f>
        <v>B</v>
      </c>
      <c r="D19" s="2" cm="1">
        <f t="array" ref="D19">INDEX(T_Info[],MATCH(T_MLD[[#This Row],[Codigo]],T_Info[Codigo],0),COLUMN(T_Info[Z.S]))</f>
        <v>2</v>
      </c>
      <c r="E19" s="2" cm="1">
        <f t="array" ref="E19">INDEX(T_Info[],MATCH(T_MLD[[#This Row],[Codigo]],T_Info[Codigo],0),COLUMN(T_Info[Pisos]))</f>
        <v>5</v>
      </c>
      <c r="F19" s="2" cm="1">
        <f t="array" ref="F19">INDEX(T_Info[],MATCH(T_MLD[[#This Row],[Codigo]],T_Info[Codigo],0),COLUMN(T_Info[Subt.]))</f>
        <v>2</v>
      </c>
      <c r="G19" s="26" cm="1">
        <f t="array" ref="G19">INDEX(T_Info[],MATCH(T_MLD[[#This Row],[Codigo]],T_Info[Codigo],0),COLUMN(T_Info[Superficie m2]))</f>
        <v>11392</v>
      </c>
      <c r="H19" s="2" t="str" cm="1">
        <f t="array" ref="H19">IF(INDEX(T_Info[],MATCH(T_MLD[[#This Row],[Codigo]],T_Info[Codigo],0),COLUMN(T_Info[Postensado]))&lt;&gt;"",INDEX(T_Info[],MATCH(T_MLD[[#This Row],[Codigo]],T_Info[Codigo],0),COLUMN(T_Info[Postensado])),"")</f>
        <v/>
      </c>
      <c r="I19" s="2" t="str" cm="1">
        <f t="array" ref="I19">IF(INDEX(T_Info[],MATCH(T_MLD[[#This Row],[Codigo]],T_Info[Codigo],0),COLUMN(T_Info[Losa Fundación]))&lt;&gt;"",INDEX(T_Info[],MATCH(T_MLD[[#This Row],[Codigo]],T_Info[Codigo],0),COLUMN(T_Info[Losa Fundación])),"")</f>
        <v/>
      </c>
      <c r="J19" s="58"/>
      <c r="K19" s="58"/>
      <c r="L19" s="58"/>
      <c r="M19" s="58"/>
      <c r="N19" s="58"/>
      <c r="O19" s="58"/>
      <c r="P19" s="58"/>
      <c r="Q19" s="58"/>
      <c r="R19" s="58"/>
      <c r="S19" s="58"/>
      <c r="T19" s="58">
        <v>0</v>
      </c>
    </row>
    <row r="20" spans="1:20" x14ac:dyDescent="0.25">
      <c r="A20" s="2">
        <v>15088</v>
      </c>
      <c r="B20" s="3" t="str" cm="1">
        <f t="array" ref="B20">INDEX(T_Info[],MATCH(T_MLD[[#This Row],[Codigo]],T_Info[Codigo],0),COLUMN(T_Info[Proyecto]))</f>
        <v>San Francisco</v>
      </c>
      <c r="C20" s="2" t="str" cm="1">
        <f t="array" ref="C20">INDEX(T_Info[],MATCH(T_MLD[[#This Row],[Codigo]],T_Info[Codigo],0),COLUMN(T_Info[T.S]))</f>
        <v>B</v>
      </c>
      <c r="D20" s="2" cm="1">
        <f t="array" ref="D20">INDEX(T_Info[],MATCH(T_MLD[[#This Row],[Codigo]],T_Info[Codigo],0),COLUMN(T_Info[Z.S]))</f>
        <v>2</v>
      </c>
      <c r="E20" s="2" cm="1">
        <f t="array" ref="E20">INDEX(T_Info[],MATCH(T_MLD[[#This Row],[Codigo]],T_Info[Codigo],0),COLUMN(T_Info[Pisos]))</f>
        <v>10</v>
      </c>
      <c r="F20" s="2" cm="1">
        <f t="array" ref="F20">INDEX(T_Info[],MATCH(T_MLD[[#This Row],[Codigo]],T_Info[Codigo],0),COLUMN(T_Info[Subt.]))</f>
        <v>3</v>
      </c>
      <c r="G20" s="26" cm="1">
        <f t="array" ref="G20">INDEX(T_Info[],MATCH(T_MLD[[#This Row],[Codigo]],T_Info[Codigo],0),COLUMN(T_Info[Superficie m2]))</f>
        <v>23058</v>
      </c>
      <c r="H20" s="2" t="str" cm="1">
        <f t="array" ref="H20">IF(INDEX(T_Info[],MATCH(T_MLD[[#This Row],[Codigo]],T_Info[Codigo],0),COLUMN(T_Info[Postensado]))&lt;&gt;"",INDEX(T_Info[],MATCH(T_MLD[[#This Row],[Codigo]],T_Info[Codigo],0),COLUMN(T_Info[Postensado])),"")</f>
        <v/>
      </c>
      <c r="I20" s="2" t="str" cm="1">
        <f t="array" ref="I20">IF(INDEX(T_Info[],MATCH(T_MLD[[#This Row],[Codigo]],T_Info[Codigo],0),COLUMN(T_Info[Losa Fundación]))&lt;&gt;"",INDEX(T_Info[],MATCH(T_MLD[[#This Row],[Codigo]],T_Info[Codigo],0),COLUMN(T_Info[Losa Fundación])),"")</f>
        <v/>
      </c>
      <c r="J20" s="58"/>
      <c r="K20" s="58"/>
      <c r="L20" s="58"/>
      <c r="M20" s="58"/>
      <c r="N20" s="58"/>
      <c r="O20" s="58"/>
      <c r="P20" s="58"/>
      <c r="Q20" s="58"/>
      <c r="R20" s="58"/>
      <c r="S20" s="58"/>
      <c r="T20" s="58">
        <v>0</v>
      </c>
    </row>
    <row r="21" spans="1:20" x14ac:dyDescent="0.25">
      <c r="A21" s="2">
        <v>15103</v>
      </c>
      <c r="B21" s="3" t="str" cm="1">
        <f t="array" ref="B21">INDEX(T_Info[],MATCH(T_MLD[[#This Row],[Codigo]],T_Info[Codigo],0),COLUMN(T_Info[Proyecto]))</f>
        <v>Cap. Orella</v>
      </c>
      <c r="C21" s="2" t="str" cm="1">
        <f t="array" ref="C21">INDEX(T_Info[],MATCH(T_MLD[[#This Row],[Codigo]],T_Info[Codigo],0),COLUMN(T_Info[T.S]))</f>
        <v>B</v>
      </c>
      <c r="D21" s="2" cm="1">
        <f t="array" ref="D21">INDEX(T_Info[],MATCH(T_MLD[[#This Row],[Codigo]],T_Info[Codigo],0),COLUMN(T_Info[Z.S]))</f>
        <v>2</v>
      </c>
      <c r="E21" s="2" cm="1">
        <f t="array" ref="E21">INDEX(T_Info[],MATCH(T_MLD[[#This Row],[Codigo]],T_Info[Codigo],0),COLUMN(T_Info[Pisos]))</f>
        <v>16</v>
      </c>
      <c r="F21" s="2" cm="1">
        <f t="array" ref="F21">INDEX(T_Info[],MATCH(T_MLD[[#This Row],[Codigo]],T_Info[Codigo],0),COLUMN(T_Info[Subt.]))</f>
        <v>3</v>
      </c>
      <c r="G21" s="26" cm="1">
        <f t="array" ref="G21">INDEX(T_Info[],MATCH(T_MLD[[#This Row],[Codigo]],T_Info[Codigo],0),COLUMN(T_Info[Superficie m2]))</f>
        <v>19333</v>
      </c>
      <c r="H21" s="2" t="str" cm="1">
        <f t="array" ref="H21">IF(INDEX(T_Info[],MATCH(T_MLD[[#This Row],[Codigo]],T_Info[Codigo],0),COLUMN(T_Info[Postensado]))&lt;&gt;"",INDEX(T_Info[],MATCH(T_MLD[[#This Row],[Codigo]],T_Info[Codigo],0),COLUMN(T_Info[Postensado])),"")</f>
        <v/>
      </c>
      <c r="I21" s="2" t="str" cm="1">
        <f t="array" ref="I21">IF(INDEX(T_Info[],MATCH(T_MLD[[#This Row],[Codigo]],T_Info[Codigo],0),COLUMN(T_Info[Losa Fundación]))&lt;&gt;"",INDEX(T_Info[],MATCH(T_MLD[[#This Row],[Codigo]],T_Info[Codigo],0),COLUMN(T_Info[Losa Fundación])),"")</f>
        <v/>
      </c>
      <c r="J21" s="58"/>
      <c r="K21" s="58"/>
      <c r="L21" s="58"/>
      <c r="M21" s="58"/>
      <c r="N21" s="58"/>
      <c r="O21" s="58"/>
      <c r="P21" s="58"/>
      <c r="Q21" s="58"/>
      <c r="R21" s="58"/>
      <c r="S21" s="58"/>
      <c r="T21" s="58">
        <v>0</v>
      </c>
    </row>
    <row r="22" spans="1:20" x14ac:dyDescent="0.25">
      <c r="A22" s="2">
        <v>15106</v>
      </c>
      <c r="B22" s="3" t="str" cm="1">
        <f t="array" ref="B22">INDEX(T_Info[],MATCH(T_MLD[[#This Row],[Codigo]],T_Info[Codigo],0),COLUMN(T_Info[Proyecto]))</f>
        <v>Tocornal 2</v>
      </c>
      <c r="C22" s="2" t="str" cm="1">
        <f t="array" ref="C22">INDEX(T_Info[],MATCH(T_MLD[[#This Row],[Codigo]],T_Info[Codigo],0),COLUMN(T_Info[T.S]))</f>
        <v>B</v>
      </c>
      <c r="D22" s="2" cm="1">
        <f t="array" ref="D22">INDEX(T_Info[],MATCH(T_MLD[[#This Row],[Codigo]],T_Info[Codigo],0),COLUMN(T_Info[Z.S]))</f>
        <v>2</v>
      </c>
      <c r="E22" s="2" cm="1">
        <f t="array" ref="E22">INDEX(T_Info[],MATCH(T_MLD[[#This Row],[Codigo]],T_Info[Codigo],0),COLUMN(T_Info[Pisos]))</f>
        <v>9</v>
      </c>
      <c r="F22" s="2" cm="1">
        <f t="array" ref="F22">INDEX(T_Info[],MATCH(T_MLD[[#This Row],[Codigo]],T_Info[Codigo],0),COLUMN(T_Info[Subt.]))</f>
        <v>2</v>
      </c>
      <c r="G22" s="26" cm="1">
        <f t="array" ref="G22">INDEX(T_Info[],MATCH(T_MLD[[#This Row],[Codigo]],T_Info[Codigo],0),COLUMN(T_Info[Superficie m2]))</f>
        <v>10068</v>
      </c>
      <c r="H22" s="2" t="str" cm="1">
        <f t="array" ref="H22">IF(INDEX(T_Info[],MATCH(T_MLD[[#This Row],[Codigo]],T_Info[Codigo],0),COLUMN(T_Info[Postensado]))&lt;&gt;"",INDEX(T_Info[],MATCH(T_MLD[[#This Row],[Codigo]],T_Info[Codigo],0),COLUMN(T_Info[Postensado])),"")</f>
        <v/>
      </c>
      <c r="I22" s="2" t="str" cm="1">
        <f t="array" ref="I22">IF(INDEX(T_Info[],MATCH(T_MLD[[#This Row],[Codigo]],T_Info[Codigo],0),COLUMN(T_Info[Losa Fundación]))&lt;&gt;"",INDEX(T_Info[],MATCH(T_MLD[[#This Row],[Codigo]],T_Info[Codigo],0),COLUMN(T_Info[Losa Fundación])),"")</f>
        <v/>
      </c>
      <c r="J22" s="58"/>
      <c r="K22" s="58"/>
      <c r="L22" s="58"/>
      <c r="M22" s="58"/>
      <c r="N22" s="58"/>
      <c r="O22" s="58"/>
      <c r="P22" s="58"/>
      <c r="Q22" s="58"/>
      <c r="R22" s="58"/>
      <c r="S22" s="58"/>
      <c r="T22" s="58">
        <v>0</v>
      </c>
    </row>
    <row r="23" spans="1:20" x14ac:dyDescent="0.25">
      <c r="A23" s="2">
        <v>16001</v>
      </c>
      <c r="B23" s="3" t="str" cm="1">
        <f t="array" ref="B23">INDEX(T_Info[],MATCH(T_MLD[[#This Row],[Codigo]],T_Info[Codigo],0),COLUMN(T_Info[Proyecto]))</f>
        <v>Suecia</v>
      </c>
      <c r="C23" s="2" t="str" cm="1">
        <f t="array" ref="C23">INDEX(T_Info[],MATCH(T_MLD[[#This Row],[Codigo]],T_Info[Codigo],0),COLUMN(T_Info[T.S]))</f>
        <v>B</v>
      </c>
      <c r="D23" s="2" cm="1">
        <f t="array" ref="D23">INDEX(T_Info[],MATCH(T_MLD[[#This Row],[Codigo]],T_Info[Codigo],0),COLUMN(T_Info[Z.S]))</f>
        <v>2</v>
      </c>
      <c r="E23" s="2" cm="1">
        <f t="array" ref="E23">INDEX(T_Info[],MATCH(T_MLD[[#This Row],[Codigo]],T_Info[Codigo],0),COLUMN(T_Info[Pisos]))</f>
        <v>7</v>
      </c>
      <c r="F23" s="2" cm="1">
        <f t="array" ref="F23">INDEX(T_Info[],MATCH(T_MLD[[#This Row],[Codigo]],T_Info[Codigo],0),COLUMN(T_Info[Subt.]))</f>
        <v>2</v>
      </c>
      <c r="G23" s="26" cm="1">
        <f t="array" ref="G23">INDEX(T_Info[],MATCH(T_MLD[[#This Row],[Codigo]],T_Info[Codigo],0),COLUMN(T_Info[Superficie m2]))</f>
        <v>11324</v>
      </c>
      <c r="H23" s="2" t="str" cm="1">
        <f t="array" ref="H23">IF(INDEX(T_Info[],MATCH(T_MLD[[#This Row],[Codigo]],T_Info[Codigo],0),COLUMN(T_Info[Postensado]))&lt;&gt;"",INDEX(T_Info[],MATCH(T_MLD[[#This Row],[Codigo]],T_Info[Codigo],0),COLUMN(T_Info[Postensado])),"")</f>
        <v/>
      </c>
      <c r="I23" s="2" t="str" cm="1">
        <f t="array" ref="I23">IF(INDEX(T_Info[],MATCH(T_MLD[[#This Row],[Codigo]],T_Info[Codigo],0),COLUMN(T_Info[Losa Fundación]))&lt;&gt;"",INDEX(T_Info[],MATCH(T_MLD[[#This Row],[Codigo]],T_Info[Codigo],0),COLUMN(T_Info[Losa Fundación])),"")</f>
        <v/>
      </c>
      <c r="J23" s="58"/>
      <c r="K23" s="58"/>
      <c r="L23" s="58"/>
      <c r="M23" s="58"/>
      <c r="N23" s="58"/>
      <c r="O23" s="58"/>
      <c r="P23" s="58"/>
      <c r="Q23" s="58"/>
      <c r="R23" s="58"/>
      <c r="S23" s="58"/>
      <c r="T23" s="58">
        <v>0</v>
      </c>
    </row>
    <row r="24" spans="1:20" x14ac:dyDescent="0.25">
      <c r="A24" s="2">
        <v>16002</v>
      </c>
      <c r="B24" s="3" t="str" cm="1">
        <f t="array" ref="B24">INDEX(T_Info[],MATCH(T_MLD[[#This Row],[Codigo]],T_Info[Codigo],0),COLUMN(T_Info[Proyecto]))</f>
        <v>Mujica T1</v>
      </c>
      <c r="C24" s="2" t="str" cm="1">
        <f t="array" ref="C24">INDEX(T_Info[],MATCH(T_MLD[[#This Row],[Codigo]],T_Info[Codigo],0),COLUMN(T_Info[T.S]))</f>
        <v>B</v>
      </c>
      <c r="D24" s="2" cm="1">
        <f t="array" ref="D24">INDEX(T_Info[],MATCH(T_MLD[[#This Row],[Codigo]],T_Info[Codigo],0),COLUMN(T_Info[Z.S]))</f>
        <v>2</v>
      </c>
      <c r="E24" s="2" cm="1">
        <f t="array" ref="E24">INDEX(T_Info[],MATCH(T_MLD[[#This Row],[Codigo]],T_Info[Codigo],0),COLUMN(T_Info[Pisos]))</f>
        <v>13</v>
      </c>
      <c r="F24" s="2" cm="1">
        <f t="array" ref="F24">INDEX(T_Info[],MATCH(T_MLD[[#This Row],[Codigo]],T_Info[Codigo],0),COLUMN(T_Info[Subt.]))</f>
        <v>2</v>
      </c>
      <c r="G24" s="26" cm="1">
        <f t="array" ref="G24">INDEX(T_Info[],MATCH(T_MLD[[#This Row],[Codigo]],T_Info[Codigo],0),COLUMN(T_Info[Superficie m2]))</f>
        <v>11607</v>
      </c>
      <c r="H24" s="2" t="str" cm="1">
        <f t="array" ref="H24">IF(INDEX(T_Info[],MATCH(T_MLD[[#This Row],[Codigo]],T_Info[Codigo],0),COLUMN(T_Info[Postensado]))&lt;&gt;"",INDEX(T_Info[],MATCH(T_MLD[[#This Row],[Codigo]],T_Info[Codigo],0),COLUMN(T_Info[Postensado])),"")</f>
        <v/>
      </c>
      <c r="I24" s="2" t="str" cm="1">
        <f t="array" ref="I24">IF(INDEX(T_Info[],MATCH(T_MLD[[#This Row],[Codigo]],T_Info[Codigo],0),COLUMN(T_Info[Losa Fundación]))&lt;&gt;"",INDEX(T_Info[],MATCH(T_MLD[[#This Row],[Codigo]],T_Info[Codigo],0),COLUMN(T_Info[Losa Fundación])),"")</f>
        <v/>
      </c>
      <c r="J24" s="58"/>
      <c r="K24" s="58"/>
      <c r="L24" s="58"/>
      <c r="M24" s="58"/>
      <c r="N24" s="58"/>
      <c r="O24" s="58"/>
      <c r="P24" s="58"/>
      <c r="Q24" s="58"/>
      <c r="R24" s="58"/>
      <c r="S24" s="58"/>
      <c r="T24" s="58">
        <v>0</v>
      </c>
    </row>
    <row r="25" spans="1:20" x14ac:dyDescent="0.25">
      <c r="A25" s="2">
        <v>16003</v>
      </c>
      <c r="B25" s="3" t="str" cm="1">
        <f t="array" ref="B25">INDEX(T_Info[],MATCH(T_MLD[[#This Row],[Codigo]],T_Info[Codigo],0),COLUMN(T_Info[Proyecto]))</f>
        <v>Mujica T2</v>
      </c>
      <c r="C25" s="2" t="str" cm="1">
        <f t="array" ref="C25">INDEX(T_Info[],MATCH(T_MLD[[#This Row],[Codigo]],T_Info[Codigo],0),COLUMN(T_Info[T.S]))</f>
        <v>B</v>
      </c>
      <c r="D25" s="2" cm="1">
        <f t="array" ref="D25">INDEX(T_Info[],MATCH(T_MLD[[#This Row],[Codigo]],T_Info[Codigo],0),COLUMN(T_Info[Z.S]))</f>
        <v>2</v>
      </c>
      <c r="E25" s="2" cm="1">
        <f t="array" ref="E25">INDEX(T_Info[],MATCH(T_MLD[[#This Row],[Codigo]],T_Info[Codigo],0),COLUMN(T_Info[Pisos]))</f>
        <v>14</v>
      </c>
      <c r="F25" s="2" cm="1">
        <f t="array" ref="F25">INDEX(T_Info[],MATCH(T_MLD[[#This Row],[Codigo]],T_Info[Codigo],0),COLUMN(T_Info[Subt.]))</f>
        <v>3</v>
      </c>
      <c r="G25" s="26" cm="1">
        <f t="array" ref="G25">INDEX(T_Info[],MATCH(T_MLD[[#This Row],[Codigo]],T_Info[Codigo],0),COLUMN(T_Info[Superficie m2]))</f>
        <v>15412</v>
      </c>
      <c r="H25" s="2" t="str" cm="1">
        <f t="array" ref="H25">IF(INDEX(T_Info[],MATCH(T_MLD[[#This Row],[Codigo]],T_Info[Codigo],0),COLUMN(T_Info[Postensado]))&lt;&gt;"",INDEX(T_Info[],MATCH(T_MLD[[#This Row],[Codigo]],T_Info[Codigo],0),COLUMN(T_Info[Postensado])),"")</f>
        <v/>
      </c>
      <c r="I25" s="2" t="str" cm="1">
        <f t="array" ref="I25">IF(INDEX(T_Info[],MATCH(T_MLD[[#This Row],[Codigo]],T_Info[Codigo],0),COLUMN(T_Info[Losa Fundación]))&lt;&gt;"",INDEX(T_Info[],MATCH(T_MLD[[#This Row],[Codigo]],T_Info[Codigo],0),COLUMN(T_Info[Losa Fundación])),"")</f>
        <v/>
      </c>
      <c r="J25" s="58"/>
      <c r="K25" s="58"/>
      <c r="L25" s="58"/>
      <c r="M25" s="58"/>
      <c r="N25" s="58"/>
      <c r="O25" s="58"/>
      <c r="P25" s="58"/>
      <c r="Q25" s="58"/>
      <c r="R25" s="58"/>
      <c r="S25" s="58"/>
      <c r="T25" s="58">
        <v>0</v>
      </c>
    </row>
    <row r="26" spans="1:20" x14ac:dyDescent="0.25">
      <c r="A26" s="2">
        <v>16018</v>
      </c>
      <c r="B26" s="3" t="str" cm="1">
        <f t="array" ref="B26">INDEX(T_Info[],MATCH(T_MLD[[#This Row],[Codigo]],T_Info[Codigo],0),COLUMN(T_Info[Proyecto]))</f>
        <v>Plaza Almeyda II</v>
      </c>
      <c r="C26" s="2" t="str" cm="1">
        <f t="array" ref="C26">INDEX(T_Info[],MATCH(T_MLD[[#This Row],[Codigo]],T_Info[Codigo],0),COLUMN(T_Info[T.S]))</f>
        <v>C</v>
      </c>
      <c r="D26" s="2" cm="1">
        <f t="array" ref="D26">INDEX(T_Info[],MATCH(T_MLD[[#This Row],[Codigo]],T_Info[Codigo],0),COLUMN(T_Info[Z.S]))</f>
        <v>2</v>
      </c>
      <c r="E26" s="2" cm="1">
        <f t="array" ref="E26">INDEX(T_Info[],MATCH(T_MLD[[#This Row],[Codigo]],T_Info[Codigo],0),COLUMN(T_Info[Pisos]))</f>
        <v>5</v>
      </c>
      <c r="F26" s="2" cm="1">
        <f t="array" ref="F26">INDEX(T_Info[],MATCH(T_MLD[[#This Row],[Codigo]],T_Info[Codigo],0),COLUMN(T_Info[Subt.]))</f>
        <v>3</v>
      </c>
      <c r="G26" s="26" cm="1">
        <f t="array" ref="G26">INDEX(T_Info[],MATCH(T_MLD[[#This Row],[Codigo]],T_Info[Codigo],0),COLUMN(T_Info[Superficie m2]))</f>
        <v>10939</v>
      </c>
      <c r="H26" s="2" t="str" cm="1">
        <f t="array" ref="H26">IF(INDEX(T_Info[],MATCH(T_MLD[[#This Row],[Codigo]],T_Info[Codigo],0),COLUMN(T_Info[Postensado]))&lt;&gt;"",INDEX(T_Info[],MATCH(T_MLD[[#This Row],[Codigo]],T_Info[Codigo],0),COLUMN(T_Info[Postensado])),"")</f>
        <v/>
      </c>
      <c r="I26" s="2" t="str" cm="1">
        <f t="array" ref="I26">IF(INDEX(T_Info[],MATCH(T_MLD[[#This Row],[Codigo]],T_Info[Codigo],0),COLUMN(T_Info[Losa Fundación]))&lt;&gt;"",INDEX(T_Info[],MATCH(T_MLD[[#This Row],[Codigo]],T_Info[Codigo],0),COLUMN(T_Info[Losa Fundación])),"")</f>
        <v/>
      </c>
      <c r="J26" s="58"/>
      <c r="K26" s="58"/>
      <c r="L26" s="58"/>
      <c r="M26" s="58"/>
      <c r="N26" s="58"/>
      <c r="O26" s="58"/>
      <c r="P26" s="58"/>
      <c r="Q26" s="58"/>
      <c r="R26" s="58"/>
      <c r="S26" s="58"/>
      <c r="T26" s="58">
        <v>0</v>
      </c>
    </row>
    <row r="27" spans="1:20" x14ac:dyDescent="0.25">
      <c r="A27" s="2">
        <v>16046</v>
      </c>
      <c r="B27" s="3" t="str" cm="1">
        <f t="array" ref="B27">INDEX(T_Info[],MATCH(T_MLD[[#This Row],[Codigo]],T_Info[Codigo],0),COLUMN(T_Info[Proyecto]))</f>
        <v>Blest Gana II</v>
      </c>
      <c r="C27" s="2" t="str" cm="1">
        <f t="array" ref="C27">INDEX(T_Info[],MATCH(T_MLD[[#This Row],[Codigo]],T_Info[Codigo],0),COLUMN(T_Info[T.S]))</f>
        <v>D</v>
      </c>
      <c r="D27" s="2" cm="1">
        <f t="array" ref="D27">INDEX(T_Info[],MATCH(T_MLD[[#This Row],[Codigo]],T_Info[Codigo],0),COLUMN(T_Info[Z.S]))</f>
        <v>2</v>
      </c>
      <c r="E27" s="2" cm="1">
        <f t="array" ref="E27">INDEX(T_Info[],MATCH(T_MLD[[#This Row],[Codigo]],T_Info[Codigo],0),COLUMN(T_Info[Pisos]))</f>
        <v>11</v>
      </c>
      <c r="F27" s="2" cm="1">
        <f t="array" ref="F27">INDEX(T_Info[],MATCH(T_MLD[[#This Row],[Codigo]],T_Info[Codigo],0),COLUMN(T_Info[Subt.]))</f>
        <v>2</v>
      </c>
      <c r="G27" s="26" cm="1">
        <f t="array" ref="G27">INDEX(T_Info[],MATCH(T_MLD[[#This Row],[Codigo]],T_Info[Codigo],0),COLUMN(T_Info[Superficie m2]))</f>
        <v>16548</v>
      </c>
      <c r="H27" s="2" t="str" cm="1">
        <f t="array" ref="H27">IF(INDEX(T_Info[],MATCH(T_MLD[[#This Row],[Codigo]],T_Info[Codigo],0),COLUMN(T_Info[Postensado]))&lt;&gt;"",INDEX(T_Info[],MATCH(T_MLD[[#This Row],[Codigo]],T_Info[Codigo],0),COLUMN(T_Info[Postensado])),"")</f>
        <v/>
      </c>
      <c r="I27" s="2" t="str" cm="1">
        <f t="array" ref="I27">IF(INDEX(T_Info[],MATCH(T_MLD[[#This Row],[Codigo]],T_Info[Codigo],0),COLUMN(T_Info[Losa Fundación]))&lt;&gt;"",INDEX(T_Info[],MATCH(T_MLD[[#This Row],[Codigo]],T_Info[Codigo],0),COLUMN(T_Info[Losa Fundación])),"")</f>
        <v>Si</v>
      </c>
      <c r="J27" s="58"/>
      <c r="K27" s="58"/>
      <c r="L27" s="58"/>
      <c r="M27" s="58"/>
      <c r="N27" s="58"/>
      <c r="O27" s="58"/>
      <c r="P27" s="58"/>
      <c r="Q27" s="58"/>
      <c r="R27" s="58"/>
      <c r="S27" s="58"/>
      <c r="T27" s="58">
        <v>0</v>
      </c>
    </row>
    <row r="28" spans="1:20" x14ac:dyDescent="0.25">
      <c r="A28" s="2">
        <v>17504</v>
      </c>
      <c r="B28" s="3" t="e" cm="1">
        <f t="array" ref="B28">INDEX(T_Info[],MATCH(T_MLD[[#This Row],[Codigo]],T_Info[Codigo],0),COLUMN(T_Info[Proyecto]))</f>
        <v>#N/A</v>
      </c>
      <c r="C28" s="2" t="e" cm="1">
        <f t="array" ref="C28">INDEX(T_Info[],MATCH(T_MLD[[#This Row],[Codigo]],T_Info[Codigo],0),COLUMN(T_Info[T.S]))</f>
        <v>#N/A</v>
      </c>
      <c r="D28" s="2" t="e" cm="1">
        <f t="array" ref="D28">INDEX(T_Info[],MATCH(T_MLD[[#This Row],[Codigo]],T_Info[Codigo],0),COLUMN(T_Info[Z.S]))</f>
        <v>#N/A</v>
      </c>
      <c r="E28" s="2" t="e" cm="1">
        <f t="array" ref="E28">INDEX(T_Info[],MATCH(T_MLD[[#This Row],[Codigo]],T_Info[Codigo],0),COLUMN(T_Info[Pisos]))</f>
        <v>#N/A</v>
      </c>
      <c r="F28" s="2" t="e" cm="1">
        <f t="array" ref="F28">INDEX(T_Info[],MATCH(T_MLD[[#This Row],[Codigo]],T_Info[Codigo],0),COLUMN(T_Info[Subt.]))</f>
        <v>#N/A</v>
      </c>
      <c r="G28" s="26" t="e" cm="1">
        <f t="array" ref="G28">INDEX(T_Info[],MATCH(T_MLD[[#This Row],[Codigo]],T_Info[Codigo],0),COLUMN(T_Info[Superficie m2]))</f>
        <v>#N/A</v>
      </c>
      <c r="H28" s="2" t="e" cm="1">
        <f t="array" ref="H28">IF(INDEX(T_Info[],MATCH(T_MLD[[#This Row],[Codigo]],T_Info[Codigo],0),COLUMN(T_Info[Postensado]))&lt;&gt;"",INDEX(T_Info[],MATCH(T_MLD[[#This Row],[Codigo]],T_Info[Codigo],0),COLUMN(T_Info[Postensado])),"")</f>
        <v>#N/A</v>
      </c>
      <c r="I28" s="2" t="e" cm="1">
        <f t="array" ref="I28">IF(INDEX(T_Info[],MATCH(T_MLD[[#This Row],[Codigo]],T_Info[Codigo],0),COLUMN(T_Info[Losa Fundación]))&lt;&gt;"",INDEX(T_Info[],MATCH(T_MLD[[#This Row],[Codigo]],T_Info[Codigo],0),COLUMN(T_Info[Losa Fundación])),"")</f>
        <v>#N/A</v>
      </c>
      <c r="J28" s="58"/>
      <c r="K28" s="58"/>
      <c r="L28" s="58"/>
      <c r="M28" s="58"/>
      <c r="N28" s="58"/>
      <c r="O28" s="58"/>
      <c r="P28" s="58"/>
      <c r="Q28" s="58"/>
      <c r="R28" s="58"/>
      <c r="S28" s="58"/>
      <c r="T28" s="58">
        <v>21603.80396666667</v>
      </c>
    </row>
    <row r="29" spans="1:20" x14ac:dyDescent="0.25">
      <c r="A29" s="2">
        <v>17502</v>
      </c>
      <c r="B29" s="3" t="e" cm="1">
        <f t="array" ref="B29">INDEX(T_Info[],MATCH(T_MLD[[#This Row],[Codigo]],T_Info[Codigo],0),COLUMN(T_Info[Proyecto]))</f>
        <v>#N/A</v>
      </c>
      <c r="C29" s="2" t="e" cm="1">
        <f t="array" ref="C29">INDEX(T_Info[],MATCH(T_MLD[[#This Row],[Codigo]],T_Info[Codigo],0),COLUMN(T_Info[T.S]))</f>
        <v>#N/A</v>
      </c>
      <c r="D29" s="2" t="e" cm="1">
        <f t="array" ref="D29">INDEX(T_Info[],MATCH(T_MLD[[#This Row],[Codigo]],T_Info[Codigo],0),COLUMN(T_Info[Z.S]))</f>
        <v>#N/A</v>
      </c>
      <c r="E29" s="2" t="e" cm="1">
        <f t="array" ref="E29">INDEX(T_Info[],MATCH(T_MLD[[#This Row],[Codigo]],T_Info[Codigo],0),COLUMN(T_Info[Pisos]))</f>
        <v>#N/A</v>
      </c>
      <c r="F29" s="2" t="e" cm="1">
        <f t="array" ref="F29">INDEX(T_Info[],MATCH(T_MLD[[#This Row],[Codigo]],T_Info[Codigo],0),COLUMN(T_Info[Subt.]))</f>
        <v>#N/A</v>
      </c>
      <c r="G29" s="26" t="e" cm="1">
        <f t="array" ref="G29">INDEX(T_Info[],MATCH(T_MLD[[#This Row],[Codigo]],T_Info[Codigo],0),COLUMN(T_Info[Superficie m2]))</f>
        <v>#N/A</v>
      </c>
      <c r="H29" s="2" t="e" cm="1">
        <f t="array" ref="H29">IF(INDEX(T_Info[],MATCH(T_MLD[[#This Row],[Codigo]],T_Info[Codigo],0),COLUMN(T_Info[Postensado]))&lt;&gt;"",INDEX(T_Info[],MATCH(T_MLD[[#This Row],[Codigo]],T_Info[Codigo],0),COLUMN(T_Info[Postensado])),"")</f>
        <v>#N/A</v>
      </c>
      <c r="I29" s="2" t="e" cm="1">
        <f t="array" ref="I29">IF(INDEX(T_Info[],MATCH(T_MLD[[#This Row],[Codigo]],T_Info[Codigo],0),COLUMN(T_Info[Losa Fundación]))&lt;&gt;"",INDEX(T_Info[],MATCH(T_MLD[[#This Row],[Codigo]],T_Info[Codigo],0),COLUMN(T_Info[Losa Fundación])),"")</f>
        <v>#N/A</v>
      </c>
      <c r="J29" s="58"/>
      <c r="K29" s="58"/>
      <c r="L29" s="58"/>
      <c r="M29" s="58"/>
      <c r="N29" s="58"/>
      <c r="O29" s="58"/>
      <c r="P29" s="58"/>
      <c r="Q29" s="58"/>
      <c r="R29" s="58"/>
      <c r="S29" s="58"/>
      <c r="T29" s="58">
        <v>26651.253727883195</v>
      </c>
    </row>
    <row r="30" spans="1:20" x14ac:dyDescent="0.25">
      <c r="A30" s="2">
        <v>16061</v>
      </c>
      <c r="B30" s="3" t="str" cm="1">
        <f t="array" ref="B30">INDEX(T_Info[],MATCH(T_MLD[[#This Row],[Codigo]],T_Info[Codigo],0),COLUMN(T_Info[Proyecto]))</f>
        <v>Sucre</v>
      </c>
      <c r="C30" s="2" t="str" cm="1">
        <f t="array" ref="C30">INDEX(T_Info[],MATCH(T_MLD[[#This Row],[Codigo]],T_Info[Codigo],0),COLUMN(T_Info[T.S]))</f>
        <v>B</v>
      </c>
      <c r="D30" s="2" cm="1">
        <f t="array" ref="D30">INDEX(T_Info[],MATCH(T_MLD[[#This Row],[Codigo]],T_Info[Codigo],0),COLUMN(T_Info[Z.S]))</f>
        <v>2</v>
      </c>
      <c r="E30" s="2" cm="1">
        <f t="array" ref="E30">INDEX(T_Info[],MATCH(T_MLD[[#This Row],[Codigo]],T_Info[Codigo],0),COLUMN(T_Info[Pisos]))</f>
        <v>11</v>
      </c>
      <c r="F30" s="2" cm="1">
        <f t="array" ref="F30">INDEX(T_Info[],MATCH(T_MLD[[#This Row],[Codigo]],T_Info[Codigo],0),COLUMN(T_Info[Subt.]))</f>
        <v>3</v>
      </c>
      <c r="G30" s="26" cm="1">
        <f t="array" ref="G30">INDEX(T_Info[],MATCH(T_MLD[[#This Row],[Codigo]],T_Info[Codigo],0),COLUMN(T_Info[Superficie m2]))</f>
        <v>14208</v>
      </c>
      <c r="H30" s="2" t="str" cm="1">
        <f t="array" ref="H30">IF(INDEX(T_Info[],MATCH(T_MLD[[#This Row],[Codigo]],T_Info[Codigo],0),COLUMN(T_Info[Postensado]))&lt;&gt;"",INDEX(T_Info[],MATCH(T_MLD[[#This Row],[Codigo]],T_Info[Codigo],0),COLUMN(T_Info[Postensado])),"")</f>
        <v/>
      </c>
      <c r="I30" s="2" t="str" cm="1">
        <f t="array" ref="I30">IF(INDEX(T_Info[],MATCH(T_MLD[[#This Row],[Codigo]],T_Info[Codigo],0),COLUMN(T_Info[Losa Fundación]))&lt;&gt;"",INDEX(T_Info[],MATCH(T_MLD[[#This Row],[Codigo]],T_Info[Codigo],0),COLUMN(T_Info[Losa Fundación])),"")</f>
        <v/>
      </c>
      <c r="J30" s="58"/>
      <c r="K30" s="58"/>
      <c r="L30" s="58"/>
      <c r="M30" s="58"/>
      <c r="N30" s="58"/>
      <c r="O30" s="58"/>
      <c r="P30" s="58"/>
      <c r="Q30" s="58"/>
      <c r="R30" s="58"/>
      <c r="S30" s="58"/>
      <c r="T30" s="58">
        <v>33897.110000000008</v>
      </c>
    </row>
    <row r="31" spans="1:20" x14ac:dyDescent="0.25">
      <c r="A31" s="2">
        <v>16089</v>
      </c>
      <c r="B31" s="3" t="str" cm="1">
        <f t="array" ref="B31">INDEX(T_Info[],MATCH(T_MLD[[#This Row],[Codigo]],T_Info[Codigo],0),COLUMN(T_Info[Proyecto]))</f>
        <v>Nibelungos</v>
      </c>
      <c r="C31" s="2" t="str" cm="1">
        <f t="array" ref="C31">INDEX(T_Info[],MATCH(T_MLD[[#This Row],[Codigo]],T_Info[Codigo],0),COLUMN(T_Info[T.S]))</f>
        <v>B</v>
      </c>
      <c r="D31" s="2" cm="1">
        <f t="array" ref="D31">INDEX(T_Info[],MATCH(T_MLD[[#This Row],[Codigo]],T_Info[Codigo],0),COLUMN(T_Info[Z.S]))</f>
        <v>2</v>
      </c>
      <c r="E31" s="2" cm="1">
        <f t="array" ref="E31">INDEX(T_Info[],MATCH(T_MLD[[#This Row],[Codigo]],T_Info[Codigo],0),COLUMN(T_Info[Pisos]))</f>
        <v>8</v>
      </c>
      <c r="F31" s="2" cm="1">
        <f t="array" ref="F31">INDEX(T_Info[],MATCH(T_MLD[[#This Row],[Codigo]],T_Info[Codigo],0),COLUMN(T_Info[Subt.]))</f>
        <v>2</v>
      </c>
      <c r="G31" s="26" cm="1">
        <f t="array" ref="G31">INDEX(T_Info[],MATCH(T_MLD[[#This Row],[Codigo]],T_Info[Codigo],0),COLUMN(T_Info[Superficie m2]))</f>
        <v>16183.37</v>
      </c>
      <c r="H31" s="2" t="str" cm="1">
        <f t="array" ref="H31">IF(INDEX(T_Info[],MATCH(T_MLD[[#This Row],[Codigo]],T_Info[Codigo],0),COLUMN(T_Info[Postensado]))&lt;&gt;"",INDEX(T_Info[],MATCH(T_MLD[[#This Row],[Codigo]],T_Info[Codigo],0),COLUMN(T_Info[Postensado])),"")</f>
        <v/>
      </c>
      <c r="I31" s="2" t="str" cm="1">
        <f t="array" ref="I31">IF(INDEX(T_Info[],MATCH(T_MLD[[#This Row],[Codigo]],T_Info[Codigo],0),COLUMN(T_Info[Losa Fundación]))&lt;&gt;"",INDEX(T_Info[],MATCH(T_MLD[[#This Row],[Codigo]],T_Info[Codigo],0),COLUMN(T_Info[Losa Fundación])),"")</f>
        <v/>
      </c>
      <c r="J31" s="58"/>
      <c r="K31" s="58"/>
      <c r="L31" s="58"/>
      <c r="M31" s="58"/>
      <c r="N31" s="58"/>
      <c r="O31" s="58"/>
      <c r="P31" s="58"/>
      <c r="Q31" s="58"/>
      <c r="R31" s="58"/>
      <c r="S31" s="58"/>
      <c r="T31" s="58">
        <v>0</v>
      </c>
    </row>
    <row r="32" spans="1:20" x14ac:dyDescent="0.25">
      <c r="A32" s="2">
        <v>17031</v>
      </c>
      <c r="B32" s="3" t="str" cm="1">
        <f t="array" ref="B32">INDEX(T_Info[],MATCH(T_MLD[[#This Row],[Codigo]],T_Info[Codigo],0),COLUMN(T_Info[Proyecto]))</f>
        <v>Hannover</v>
      </c>
      <c r="C32" s="2" t="str" cm="1">
        <f t="array" ref="C32">INDEX(T_Info[],MATCH(T_MLD[[#This Row],[Codigo]],T_Info[Codigo],0),COLUMN(T_Info[T.S]))</f>
        <v>D</v>
      </c>
      <c r="D32" s="2" cm="1">
        <f t="array" ref="D32">INDEX(T_Info[],MATCH(T_MLD[[#This Row],[Codigo]],T_Info[Codigo],0),COLUMN(T_Info[Z.S]))</f>
        <v>2</v>
      </c>
      <c r="E32" s="2" cm="1">
        <f t="array" ref="E32">INDEX(T_Info[],MATCH(T_MLD[[#This Row],[Codigo]],T_Info[Codigo],0),COLUMN(T_Info[Pisos]))</f>
        <v>7</v>
      </c>
      <c r="F32" s="2" cm="1">
        <f t="array" ref="F32">INDEX(T_Info[],MATCH(T_MLD[[#This Row],[Codigo]],T_Info[Codigo],0),COLUMN(T_Info[Subt.]))</f>
        <v>2</v>
      </c>
      <c r="G32" s="26" cm="1">
        <f t="array" ref="G32">INDEX(T_Info[],MATCH(T_MLD[[#This Row],[Codigo]],T_Info[Codigo],0),COLUMN(T_Info[Superficie m2]))</f>
        <v>18825.400000000001</v>
      </c>
      <c r="H32" s="2" t="str" cm="1">
        <f t="array" ref="H32">IF(INDEX(T_Info[],MATCH(T_MLD[[#This Row],[Codigo]],T_Info[Codigo],0),COLUMN(T_Info[Postensado]))&lt;&gt;"",INDEX(T_Info[],MATCH(T_MLD[[#This Row],[Codigo]],T_Info[Codigo],0),COLUMN(T_Info[Postensado])),"")</f>
        <v/>
      </c>
      <c r="I32" s="2" t="str" cm="1">
        <f t="array" ref="I32">IF(INDEX(T_Info[],MATCH(T_MLD[[#This Row],[Codigo]],T_Info[Codigo],0),COLUMN(T_Info[Losa Fundación]))&lt;&gt;"",INDEX(T_Info[],MATCH(T_MLD[[#This Row],[Codigo]],T_Info[Codigo],0),COLUMN(T_Info[Losa Fundación])),"")</f>
        <v/>
      </c>
      <c r="J32" s="58"/>
      <c r="K32" s="58"/>
      <c r="L32" s="58"/>
      <c r="M32" s="58"/>
      <c r="N32" s="58"/>
      <c r="O32" s="58"/>
      <c r="P32" s="58"/>
      <c r="Q32" s="58"/>
      <c r="R32" s="58"/>
      <c r="S32" s="58"/>
      <c r="T32" s="58">
        <v>44697.470000000023</v>
      </c>
    </row>
    <row r="33" spans="1:20" x14ac:dyDescent="0.25">
      <c r="A33" s="2">
        <v>17050</v>
      </c>
      <c r="B33" s="3" t="str" cm="1">
        <f t="array" ref="B33">INDEX(T_Info[],MATCH(T_MLD[[#This Row],[Codigo]],T_Info[Codigo],0),COLUMN(T_Info[Proyecto]))</f>
        <v>Irarrázaval</v>
      </c>
      <c r="C33" s="2" t="str" cm="1">
        <f t="array" ref="C33">INDEX(T_Info[],MATCH(T_MLD[[#This Row],[Codigo]],T_Info[Codigo],0),COLUMN(T_Info[T.S]))</f>
        <v>B</v>
      </c>
      <c r="D33" s="2" cm="1">
        <f t="array" ref="D33">INDEX(T_Info[],MATCH(T_MLD[[#This Row],[Codigo]],T_Info[Codigo],0),COLUMN(T_Info[Z.S]))</f>
        <v>2</v>
      </c>
      <c r="E33" s="2" cm="1">
        <f t="array" ref="E33">INDEX(T_Info[],MATCH(T_MLD[[#This Row],[Codigo]],T_Info[Codigo],0),COLUMN(T_Info[Pisos]))</f>
        <v>24</v>
      </c>
      <c r="F33" s="2" cm="1">
        <f t="array" ref="F33">INDEX(T_Info[],MATCH(T_MLD[[#This Row],[Codigo]],T_Info[Codigo],0),COLUMN(T_Info[Subt.]))</f>
        <v>4</v>
      </c>
      <c r="G33" s="26" cm="1">
        <f t="array" ref="G33">INDEX(T_Info[],MATCH(T_MLD[[#This Row],[Codigo]],T_Info[Codigo],0),COLUMN(T_Info[Superficie m2]))</f>
        <v>23523</v>
      </c>
      <c r="H33" s="2" t="str" cm="1">
        <f t="array" ref="H33">IF(INDEX(T_Info[],MATCH(T_MLD[[#This Row],[Codigo]],T_Info[Codigo],0),COLUMN(T_Info[Postensado]))&lt;&gt;"",INDEX(T_Info[],MATCH(T_MLD[[#This Row],[Codigo]],T_Info[Codigo],0),COLUMN(T_Info[Postensado])),"")</f>
        <v/>
      </c>
      <c r="I33" s="2" t="str" cm="1">
        <f t="array" ref="I33">IF(INDEX(T_Info[],MATCH(T_MLD[[#This Row],[Codigo]],T_Info[Codigo],0),COLUMN(T_Info[Losa Fundación]))&lt;&gt;"",INDEX(T_Info[],MATCH(T_MLD[[#This Row],[Codigo]],T_Info[Codigo],0),COLUMN(T_Info[Losa Fundación])),"")</f>
        <v/>
      </c>
      <c r="J33" s="58"/>
      <c r="K33" s="58"/>
      <c r="L33" s="58"/>
      <c r="M33" s="58"/>
      <c r="N33" s="58"/>
      <c r="O33" s="58"/>
      <c r="P33" s="58"/>
      <c r="Q33" s="58"/>
      <c r="R33" s="58"/>
      <c r="S33" s="58"/>
      <c r="T33" s="58">
        <v>0</v>
      </c>
    </row>
    <row r="34" spans="1:20" x14ac:dyDescent="0.25">
      <c r="A34" s="2">
        <v>17080</v>
      </c>
      <c r="B34" s="3" t="str" cm="1">
        <f t="array" ref="B34">INDEX(T_Info[],MATCH(T_MLD[[#This Row],[Codigo]],T_Info[Codigo],0),COLUMN(T_Info[Proyecto]))</f>
        <v>Rosas</v>
      </c>
      <c r="C34" s="2" t="str" cm="1">
        <f t="array" ref="C34">INDEX(T_Info[],MATCH(T_MLD[[#This Row],[Codigo]],T_Info[Codigo],0),COLUMN(T_Info[T.S]))</f>
        <v>B</v>
      </c>
      <c r="D34" s="2" cm="1">
        <f t="array" ref="D34">INDEX(T_Info[],MATCH(T_MLD[[#This Row],[Codigo]],T_Info[Codigo],0),COLUMN(T_Info[Z.S]))</f>
        <v>2</v>
      </c>
      <c r="E34" s="2" cm="1">
        <f t="array" ref="E34">INDEX(T_Info[],MATCH(T_MLD[[#This Row],[Codigo]],T_Info[Codigo],0),COLUMN(T_Info[Pisos]))</f>
        <v>10</v>
      </c>
      <c r="F34" s="2" cm="1">
        <f t="array" ref="F34">INDEX(T_Info[],MATCH(T_MLD[[#This Row],[Codigo]],T_Info[Codigo],0),COLUMN(T_Info[Subt.]))</f>
        <v>2</v>
      </c>
      <c r="G34" s="26" cm="1">
        <f t="array" ref="G34">INDEX(T_Info[],MATCH(T_MLD[[#This Row],[Codigo]],T_Info[Codigo],0),COLUMN(T_Info[Superficie m2]))</f>
        <v>20806.43</v>
      </c>
      <c r="H34" s="2" t="str" cm="1">
        <f t="array" ref="H34">IF(INDEX(T_Info[],MATCH(T_MLD[[#This Row],[Codigo]],T_Info[Codigo],0),COLUMN(T_Info[Postensado]))&lt;&gt;"",INDEX(T_Info[],MATCH(T_MLD[[#This Row],[Codigo]],T_Info[Codigo],0),COLUMN(T_Info[Postensado])),"")</f>
        <v/>
      </c>
      <c r="I34" s="2" t="str" cm="1">
        <f t="array" ref="I34">IF(INDEX(T_Info[],MATCH(T_MLD[[#This Row],[Codigo]],T_Info[Codigo],0),COLUMN(T_Info[Losa Fundación]))&lt;&gt;"",INDEX(T_Info[],MATCH(T_MLD[[#This Row],[Codigo]],T_Info[Codigo],0),COLUMN(T_Info[Losa Fundación])),"")</f>
        <v/>
      </c>
      <c r="J34" s="58"/>
      <c r="K34" s="58"/>
      <c r="L34" s="58"/>
      <c r="M34" s="58"/>
      <c r="N34" s="58"/>
      <c r="O34" s="58"/>
      <c r="P34" s="58"/>
      <c r="Q34" s="58"/>
      <c r="R34" s="58"/>
      <c r="S34" s="58"/>
      <c r="T34" s="58">
        <v>0</v>
      </c>
    </row>
    <row r="35" spans="1:20" x14ac:dyDescent="0.25">
      <c r="A35" s="2">
        <v>17098</v>
      </c>
      <c r="B35" s="3" t="str" cm="1">
        <f t="array" ref="B35">INDEX(T_Info[],MATCH(T_MLD[[#This Row],[Codigo]],T_Info[Codigo],0),COLUMN(T_Info[Proyecto]))</f>
        <v>Mujica T3</v>
      </c>
      <c r="C35" s="2" t="str" cm="1">
        <f t="array" ref="C35">INDEX(T_Info[],MATCH(T_MLD[[#This Row],[Codigo]],T_Info[Codigo],0),COLUMN(T_Info[T.S]))</f>
        <v>B</v>
      </c>
      <c r="D35" s="2" cm="1">
        <f t="array" ref="D35">INDEX(T_Info[],MATCH(T_MLD[[#This Row],[Codigo]],T_Info[Codigo],0),COLUMN(T_Info[Z.S]))</f>
        <v>2</v>
      </c>
      <c r="E35" s="2" cm="1">
        <f t="array" ref="E35">INDEX(T_Info[],MATCH(T_MLD[[#This Row],[Codigo]],T_Info[Codigo],0),COLUMN(T_Info[Pisos]))</f>
        <v>12</v>
      </c>
      <c r="F35" s="2" cm="1">
        <f t="array" ref="F35">INDEX(T_Info[],MATCH(T_MLD[[#This Row],[Codigo]],T_Info[Codigo],0),COLUMN(T_Info[Subt.]))</f>
        <v>2</v>
      </c>
      <c r="G35" s="26" cm="1">
        <f t="array" ref="G35">INDEX(T_Info[],MATCH(T_MLD[[#This Row],[Codigo]],T_Info[Codigo],0),COLUMN(T_Info[Superficie m2]))</f>
        <v>8300.99</v>
      </c>
      <c r="H35" s="2" t="str" cm="1">
        <f t="array" ref="H35">IF(INDEX(T_Info[],MATCH(T_MLD[[#This Row],[Codigo]],T_Info[Codigo],0),COLUMN(T_Info[Postensado]))&lt;&gt;"",INDEX(T_Info[],MATCH(T_MLD[[#This Row],[Codigo]],T_Info[Codigo],0),COLUMN(T_Info[Postensado])),"")</f>
        <v/>
      </c>
      <c r="I35" s="2" t="str" cm="1">
        <f t="array" ref="I35">IF(INDEX(T_Info[],MATCH(T_MLD[[#This Row],[Codigo]],T_Info[Codigo],0),COLUMN(T_Info[Losa Fundación]))&lt;&gt;"",INDEX(T_Info[],MATCH(T_MLD[[#This Row],[Codigo]],T_Info[Codigo],0),COLUMN(T_Info[Losa Fundación])),"")</f>
        <v/>
      </c>
      <c r="J35" s="58"/>
      <c r="K35" s="58"/>
      <c r="L35" s="58"/>
      <c r="M35" s="58"/>
      <c r="N35" s="58"/>
      <c r="O35" s="58"/>
      <c r="P35" s="58"/>
      <c r="Q35" s="58"/>
      <c r="R35" s="58"/>
      <c r="S35" s="58"/>
      <c r="T35" s="58">
        <v>21958.520000000008</v>
      </c>
    </row>
    <row r="36" spans="1:20" x14ac:dyDescent="0.25">
      <c r="A36" s="2">
        <v>17100</v>
      </c>
      <c r="B36" s="3" t="str" cm="1">
        <f t="array" ref="B36">INDEX(T_Info[],MATCH(T_MLD[[#This Row],[Codigo]],T_Info[Codigo],0),COLUMN(T_Info[Proyecto]))</f>
        <v>Colón</v>
      </c>
      <c r="C36" s="2" t="str" cm="1">
        <f t="array" ref="C36">INDEX(T_Info[],MATCH(T_MLD[[#This Row],[Codigo]],T_Info[Codigo],0),COLUMN(T_Info[T.S]))</f>
        <v>B</v>
      </c>
      <c r="D36" s="2" cm="1">
        <f t="array" ref="D36">INDEX(T_Info[],MATCH(T_MLD[[#This Row],[Codigo]],T_Info[Codigo],0),COLUMN(T_Info[Z.S]))</f>
        <v>2</v>
      </c>
      <c r="E36" s="2" cm="1">
        <f t="array" ref="E36">INDEX(T_Info[],MATCH(T_MLD[[#This Row],[Codigo]],T_Info[Codigo],0),COLUMN(T_Info[Pisos]))</f>
        <v>16</v>
      </c>
      <c r="F36" s="2" cm="1">
        <f t="array" ref="F36">INDEX(T_Info[],MATCH(T_MLD[[#This Row],[Codigo]],T_Info[Codigo],0),COLUMN(T_Info[Subt.]))</f>
        <v>2</v>
      </c>
      <c r="G36" s="26" cm="1">
        <f t="array" ref="G36">INDEX(T_Info[],MATCH(T_MLD[[#This Row],[Codigo]],T_Info[Codigo],0),COLUMN(T_Info[Superficie m2]))</f>
        <v>16551.04</v>
      </c>
      <c r="H36" s="2" t="str" cm="1">
        <f t="array" ref="H36">IF(INDEX(T_Info[],MATCH(T_MLD[[#This Row],[Codigo]],T_Info[Codigo],0),COLUMN(T_Info[Postensado]))&lt;&gt;"",INDEX(T_Info[],MATCH(T_MLD[[#This Row],[Codigo]],T_Info[Codigo],0),COLUMN(T_Info[Postensado])),"")</f>
        <v/>
      </c>
      <c r="I36" s="2" t="str" cm="1">
        <f t="array" ref="I36">IF(INDEX(T_Info[],MATCH(T_MLD[[#This Row],[Codigo]],T_Info[Codigo],0),COLUMN(T_Info[Losa Fundación]))&lt;&gt;"",INDEX(T_Info[],MATCH(T_MLD[[#This Row],[Codigo]],T_Info[Codigo],0),COLUMN(T_Info[Losa Fundación])),"")</f>
        <v/>
      </c>
      <c r="J36" s="58"/>
      <c r="K36" s="58"/>
      <c r="L36" s="58"/>
      <c r="M36" s="58"/>
      <c r="N36" s="58"/>
      <c r="O36" s="58"/>
      <c r="P36" s="58"/>
      <c r="Q36" s="58"/>
      <c r="R36" s="58"/>
      <c r="S36" s="58"/>
      <c r="T36" s="58">
        <v>40864</v>
      </c>
    </row>
    <row r="37" spans="1:20" x14ac:dyDescent="0.25">
      <c r="A37" s="2">
        <v>17106</v>
      </c>
      <c r="B37" s="3" t="str" cm="1">
        <f t="array" ref="B37">INDEX(T_Info[],MATCH(T_MLD[[#This Row],[Codigo]],T_Info[Codigo],0),COLUMN(T_Info[Proyecto]))</f>
        <v>Diag. Oriente</v>
      </c>
      <c r="C37" s="2" t="str" cm="1">
        <f t="array" ref="C37">INDEX(T_Info[],MATCH(T_MLD[[#This Row],[Codigo]],T_Info[Codigo],0),COLUMN(T_Info[T.S]))</f>
        <v>B</v>
      </c>
      <c r="D37" s="2" cm="1">
        <f t="array" ref="D37">INDEX(T_Info[],MATCH(T_MLD[[#This Row],[Codigo]],T_Info[Codigo],0),COLUMN(T_Info[Z.S]))</f>
        <v>2</v>
      </c>
      <c r="E37" s="2" cm="1">
        <f t="array" ref="E37">INDEX(T_Info[],MATCH(T_MLD[[#This Row],[Codigo]],T_Info[Codigo],0),COLUMN(T_Info[Pisos]))</f>
        <v>13</v>
      </c>
      <c r="F37" s="2" cm="1">
        <f t="array" ref="F37">INDEX(T_Info[],MATCH(T_MLD[[#This Row],[Codigo]],T_Info[Codigo],0),COLUMN(T_Info[Subt.]))</f>
        <v>2</v>
      </c>
      <c r="G37" s="26" cm="1">
        <f t="array" ref="G37">INDEX(T_Info[],MATCH(T_MLD[[#This Row],[Codigo]],T_Info[Codigo],0),COLUMN(T_Info[Superficie m2]))</f>
        <v>21028.959999999999</v>
      </c>
      <c r="H37" s="2" t="str" cm="1">
        <f t="array" ref="H37">IF(INDEX(T_Info[],MATCH(T_MLD[[#This Row],[Codigo]],T_Info[Codigo],0),COLUMN(T_Info[Postensado]))&lt;&gt;"",INDEX(T_Info[],MATCH(T_MLD[[#This Row],[Codigo]],T_Info[Codigo],0),COLUMN(T_Info[Postensado])),"")</f>
        <v/>
      </c>
      <c r="I37" s="2" t="str" cm="1">
        <f t="array" ref="I37">IF(INDEX(T_Info[],MATCH(T_MLD[[#This Row],[Codigo]],T_Info[Codigo],0),COLUMN(T_Info[Losa Fundación]))&lt;&gt;"",INDEX(T_Info[],MATCH(T_MLD[[#This Row],[Codigo]],T_Info[Codigo],0),COLUMN(T_Info[Losa Fundación])),"")</f>
        <v/>
      </c>
      <c r="J37" s="58"/>
      <c r="K37" s="58"/>
      <c r="L37" s="58"/>
      <c r="M37" s="58"/>
      <c r="N37" s="58"/>
      <c r="O37" s="58"/>
      <c r="P37" s="58"/>
      <c r="Q37" s="58"/>
      <c r="R37" s="58"/>
      <c r="S37" s="58"/>
      <c r="T37" s="58">
        <v>42427.110000000015</v>
      </c>
    </row>
    <row r="38" spans="1:20" x14ac:dyDescent="0.25">
      <c r="A38" s="2">
        <v>18001</v>
      </c>
      <c r="B38" s="3" t="str" cm="1">
        <f t="array" ref="B38">INDEX(T_Info[],MATCH(T_MLD[[#This Row],[Codigo]],T_Info[Codigo],0),COLUMN(T_Info[Proyecto]))</f>
        <v>Robles</v>
      </c>
      <c r="C38" s="2" t="str" cm="1">
        <f t="array" ref="C38">INDEX(T_Info[],MATCH(T_MLD[[#This Row],[Codigo]],T_Info[Codigo],0),COLUMN(T_Info[T.S]))</f>
        <v>C</v>
      </c>
      <c r="D38" s="2" cm="1">
        <f t="array" ref="D38">INDEX(T_Info[],MATCH(T_MLD[[#This Row],[Codigo]],T_Info[Codigo],0),COLUMN(T_Info[Z.S]))</f>
        <v>2</v>
      </c>
      <c r="E38" s="2" cm="1">
        <f t="array" ref="E38">INDEX(T_Info[],MATCH(T_MLD[[#This Row],[Codigo]],T_Info[Codigo],0),COLUMN(T_Info[Pisos]))</f>
        <v>7</v>
      </c>
      <c r="F38" s="2" cm="1">
        <f t="array" ref="F38">INDEX(T_Info[],MATCH(T_MLD[[#This Row],[Codigo]],T_Info[Codigo],0),COLUMN(T_Info[Subt.]))</f>
        <v>2</v>
      </c>
      <c r="G38" s="26" cm="1">
        <f t="array" ref="G38">INDEX(T_Info[],MATCH(T_MLD[[#This Row],[Codigo]],T_Info[Codigo],0),COLUMN(T_Info[Superficie m2]))</f>
        <v>13883.06</v>
      </c>
      <c r="H38" s="2" t="str" cm="1">
        <f t="array" ref="H38">IF(INDEX(T_Info[],MATCH(T_MLD[[#This Row],[Codigo]],T_Info[Codigo],0),COLUMN(T_Info[Postensado]))&lt;&gt;"",INDEX(T_Info[],MATCH(T_MLD[[#This Row],[Codigo]],T_Info[Codigo],0),COLUMN(T_Info[Postensado])),"")</f>
        <v/>
      </c>
      <c r="I38" s="2" t="str" cm="1">
        <f t="array" ref="I38">IF(INDEX(T_Info[],MATCH(T_MLD[[#This Row],[Codigo]],T_Info[Codigo],0),COLUMN(T_Info[Losa Fundación]))&lt;&gt;"",INDEX(T_Info[],MATCH(T_MLD[[#This Row],[Codigo]],T_Info[Codigo],0),COLUMN(T_Info[Losa Fundación])),"")</f>
        <v/>
      </c>
      <c r="J38" s="58"/>
      <c r="K38" s="58"/>
      <c r="L38" s="58"/>
      <c r="M38" s="58"/>
      <c r="N38" s="58"/>
      <c r="O38" s="58"/>
      <c r="P38" s="58"/>
      <c r="Q38" s="58"/>
      <c r="R38" s="58"/>
      <c r="S38" s="58"/>
      <c r="T38" s="58">
        <v>32019.54</v>
      </c>
    </row>
    <row r="39" spans="1:20" x14ac:dyDescent="0.25">
      <c r="A39" s="2">
        <v>18002</v>
      </c>
      <c r="B39" s="3" t="str" cm="1">
        <f t="array" ref="B39">INDEX(T_Info[],MATCH(T_MLD[[#This Row],[Codigo]],T_Info[Codigo],0),COLUMN(T_Info[Proyecto]))</f>
        <v>Carrera Domeyko</v>
      </c>
      <c r="C39" s="2" t="str" cm="1">
        <f t="array" ref="C39">INDEX(T_Info[],MATCH(T_MLD[[#This Row],[Codigo]],T_Info[Codigo],0),COLUMN(T_Info[T.S]))</f>
        <v>B</v>
      </c>
      <c r="D39" s="2" cm="1">
        <f t="array" ref="D39">INDEX(T_Info[],MATCH(T_MLD[[#This Row],[Codigo]],T_Info[Codigo],0),COLUMN(T_Info[Z.S]))</f>
        <v>2</v>
      </c>
      <c r="E39" s="2" cm="1">
        <f t="array" ref="E39">INDEX(T_Info[],MATCH(T_MLD[[#This Row],[Codigo]],T_Info[Codigo],0),COLUMN(T_Info[Pisos]))</f>
        <v>10</v>
      </c>
      <c r="F39" s="2" cm="1">
        <f t="array" ref="F39">INDEX(T_Info[],MATCH(T_MLD[[#This Row],[Codigo]],T_Info[Codigo],0),COLUMN(T_Info[Subt.]))</f>
        <v>3</v>
      </c>
      <c r="G39" s="26" cm="1">
        <f t="array" ref="G39">INDEX(T_Info[],MATCH(T_MLD[[#This Row],[Codigo]],T_Info[Codigo],0),COLUMN(T_Info[Superficie m2]))</f>
        <v>12466.65</v>
      </c>
      <c r="H39" s="2" t="str" cm="1">
        <f t="array" ref="H39">IF(INDEX(T_Info[],MATCH(T_MLD[[#This Row],[Codigo]],T_Info[Codigo],0),COLUMN(T_Info[Postensado]))&lt;&gt;"",INDEX(T_Info[],MATCH(T_MLD[[#This Row],[Codigo]],T_Info[Codigo],0),COLUMN(T_Info[Postensado])),"")</f>
        <v/>
      </c>
      <c r="I39" s="2" t="str" cm="1">
        <f t="array" ref="I39">IF(INDEX(T_Info[],MATCH(T_MLD[[#This Row],[Codigo]],T_Info[Codigo],0),COLUMN(T_Info[Losa Fundación]))&lt;&gt;"",INDEX(T_Info[],MATCH(T_MLD[[#This Row],[Codigo]],T_Info[Codigo],0),COLUMN(T_Info[Losa Fundación])),"")</f>
        <v/>
      </c>
      <c r="J39" s="58"/>
      <c r="K39" s="58"/>
      <c r="L39" s="58"/>
      <c r="M39" s="58"/>
      <c r="N39" s="58"/>
      <c r="O39" s="58"/>
      <c r="P39" s="58"/>
      <c r="Q39" s="58"/>
      <c r="R39" s="58"/>
      <c r="S39" s="58"/>
      <c r="T39" s="58">
        <v>33184.200000000012</v>
      </c>
    </row>
    <row r="40" spans="1:20" x14ac:dyDescent="0.25">
      <c r="A40" s="2">
        <v>18003</v>
      </c>
      <c r="B40" s="3" t="str" cm="1">
        <f t="array" ref="B40">INDEX(T_Info[],MATCH(T_MLD[[#This Row],[Codigo]],T_Info[Codigo],0),COLUMN(T_Info[Proyecto]))</f>
        <v>Eleuterio Ramírez</v>
      </c>
      <c r="C40" s="2" t="str" cm="1">
        <f t="array" ref="C40">INDEX(T_Info[],MATCH(T_MLD[[#This Row],[Codigo]],T_Info[Codigo],0),COLUMN(T_Info[T.S]))</f>
        <v>B</v>
      </c>
      <c r="D40" s="2" cm="1">
        <f t="array" ref="D40">INDEX(T_Info[],MATCH(T_MLD[[#This Row],[Codigo]],T_Info[Codigo],0),COLUMN(T_Info[Z.S]))</f>
        <v>2</v>
      </c>
      <c r="E40" s="2" cm="1">
        <f t="array" ref="E40">INDEX(T_Info[],MATCH(T_MLD[[#This Row],[Codigo]],T_Info[Codigo],0),COLUMN(T_Info[Pisos]))</f>
        <v>12</v>
      </c>
      <c r="F40" s="2" cm="1">
        <f t="array" ref="F40">INDEX(T_Info[],MATCH(T_MLD[[#This Row],[Codigo]],T_Info[Codigo],0),COLUMN(T_Info[Subt.]))</f>
        <v>4</v>
      </c>
      <c r="G40" s="26" cm="1">
        <f t="array" ref="G40">INDEX(T_Info[],MATCH(T_MLD[[#This Row],[Codigo]],T_Info[Codigo],0),COLUMN(T_Info[Superficie m2]))</f>
        <v>11673.69</v>
      </c>
      <c r="H40" s="2" t="str" cm="1">
        <f t="array" ref="H40">IF(INDEX(T_Info[],MATCH(T_MLD[[#This Row],[Codigo]],T_Info[Codigo],0),COLUMN(T_Info[Postensado]))&lt;&gt;"",INDEX(T_Info[],MATCH(T_MLD[[#This Row],[Codigo]],T_Info[Codigo],0),COLUMN(T_Info[Postensado])),"")</f>
        <v/>
      </c>
      <c r="I40" s="2" t="str" cm="1">
        <f t="array" ref="I40">IF(INDEX(T_Info[],MATCH(T_MLD[[#This Row],[Codigo]],T_Info[Codigo],0),COLUMN(T_Info[Losa Fundación]))&lt;&gt;"",INDEX(T_Info[],MATCH(T_MLD[[#This Row],[Codigo]],T_Info[Codigo],0),COLUMN(T_Info[Losa Fundación])),"")</f>
        <v/>
      </c>
      <c r="J40" s="58"/>
      <c r="K40" s="58"/>
      <c r="L40" s="58"/>
      <c r="M40" s="58"/>
      <c r="N40" s="58"/>
      <c r="O40" s="58"/>
      <c r="P40" s="58"/>
      <c r="Q40" s="58"/>
      <c r="R40" s="58"/>
      <c r="S40" s="58"/>
      <c r="T40" s="58">
        <v>25601.840000000007</v>
      </c>
    </row>
    <row r="41" spans="1:20" x14ac:dyDescent="0.25">
      <c r="A41" s="2">
        <v>18004</v>
      </c>
      <c r="B41" s="3" t="str" cm="1">
        <f t="array" ref="B41">INDEX(T_Info[],MATCH(T_MLD[[#This Row],[Codigo]],T_Info[Codigo],0),COLUMN(T_Info[Proyecto]))</f>
        <v>Vicente Huidobro</v>
      </c>
      <c r="C41" s="2" t="str" cm="1">
        <f t="array" ref="C41">INDEX(T_Info[],MATCH(T_MLD[[#This Row],[Codigo]],T_Info[Codigo],0),COLUMN(T_Info[T.S]))</f>
        <v>C</v>
      </c>
      <c r="D41" s="2" cm="1">
        <f t="array" ref="D41">INDEX(T_Info[],MATCH(T_MLD[[#This Row],[Codigo]],T_Info[Codigo],0),COLUMN(T_Info[Z.S]))</f>
        <v>2</v>
      </c>
      <c r="E41" s="2" cm="1">
        <f t="array" ref="E41">INDEX(T_Info[],MATCH(T_MLD[[#This Row],[Codigo]],T_Info[Codigo],0),COLUMN(T_Info[Pisos]))</f>
        <v>12</v>
      </c>
      <c r="F41" s="2" cm="1">
        <f t="array" ref="F41">INDEX(T_Info[],MATCH(T_MLD[[#This Row],[Codigo]],T_Info[Codigo],0),COLUMN(T_Info[Subt.]))</f>
        <v>3</v>
      </c>
      <c r="G41" s="26" cm="1">
        <f t="array" ref="G41">INDEX(T_Info[],MATCH(T_MLD[[#This Row],[Codigo]],T_Info[Codigo],0),COLUMN(T_Info[Superficie m2]))</f>
        <v>16237.81</v>
      </c>
      <c r="H41" s="2" t="str" cm="1">
        <f t="array" ref="H41">IF(INDEX(T_Info[],MATCH(T_MLD[[#This Row],[Codigo]],T_Info[Codigo],0),COLUMN(T_Info[Postensado]))&lt;&gt;"",INDEX(T_Info[],MATCH(T_MLD[[#This Row],[Codigo]],T_Info[Codigo],0),COLUMN(T_Info[Postensado])),"")</f>
        <v/>
      </c>
      <c r="I41" s="2" t="str" cm="1">
        <f t="array" ref="I41">IF(INDEX(T_Info[],MATCH(T_MLD[[#This Row],[Codigo]],T_Info[Codigo],0),COLUMN(T_Info[Losa Fundación]))&lt;&gt;"",INDEX(T_Info[],MATCH(T_MLD[[#This Row],[Codigo]],T_Info[Codigo],0),COLUMN(T_Info[Losa Fundación])),"")</f>
        <v>Si</v>
      </c>
      <c r="J41" s="58"/>
      <c r="K41" s="58"/>
      <c r="L41" s="58"/>
      <c r="M41" s="58"/>
      <c r="N41" s="58"/>
      <c r="O41" s="58"/>
      <c r="P41" s="58"/>
      <c r="Q41" s="58"/>
      <c r="R41" s="58"/>
      <c r="S41" s="58"/>
      <c r="T41" s="58">
        <v>38239</v>
      </c>
    </row>
    <row r="42" spans="1:20" x14ac:dyDescent="0.25">
      <c r="A42" s="2">
        <v>18006</v>
      </c>
      <c r="B42" s="3" t="str" cm="1">
        <f t="array" ref="B42">INDEX(T_Info[],MATCH(T_MLD[[#This Row],[Codigo]],T_Info[Codigo],0),COLUMN(T_Info[Proyecto]))</f>
        <v>Tucapel</v>
      </c>
      <c r="C42" s="2" t="str" cm="1">
        <f t="array" ref="C42">INDEX(T_Info[],MATCH(T_MLD[[#This Row],[Codigo]],T_Info[Codigo],0),COLUMN(T_Info[T.S]))</f>
        <v>D</v>
      </c>
      <c r="D42" s="2" cm="1">
        <f t="array" ref="D42">INDEX(T_Info[],MATCH(T_MLD[[#This Row],[Codigo]],T_Info[Codigo],0),COLUMN(T_Info[Z.S]))</f>
        <v>3</v>
      </c>
      <c r="E42" s="2" cm="1">
        <f t="array" ref="E42">INDEX(T_Info[],MATCH(T_MLD[[#This Row],[Codigo]],T_Info[Codigo],0),COLUMN(T_Info[Pisos]))</f>
        <v>19</v>
      </c>
      <c r="F42" s="2" cm="1">
        <f t="array" ref="F42">INDEX(T_Info[],MATCH(T_MLD[[#This Row],[Codigo]],T_Info[Codigo],0),COLUMN(T_Info[Subt.]))</f>
        <v>3</v>
      </c>
      <c r="G42" s="26" cm="1">
        <f t="array" ref="G42">INDEX(T_Info[],MATCH(T_MLD[[#This Row],[Codigo]],T_Info[Codigo],0),COLUMN(T_Info[Superficie m2]))</f>
        <v>17423.97</v>
      </c>
      <c r="H42" s="2" t="str" cm="1">
        <f t="array" ref="H42">IF(INDEX(T_Info[],MATCH(T_MLD[[#This Row],[Codigo]],T_Info[Codigo],0),COLUMN(T_Info[Postensado]))&lt;&gt;"",INDEX(T_Info[],MATCH(T_MLD[[#This Row],[Codigo]],T_Info[Codigo],0),COLUMN(T_Info[Postensado])),"")</f>
        <v/>
      </c>
      <c r="I42" s="2" t="str" cm="1">
        <f t="array" ref="I42">IF(INDEX(T_Info[],MATCH(T_MLD[[#This Row],[Codigo]],T_Info[Codigo],0),COLUMN(T_Info[Losa Fundación]))&lt;&gt;"",INDEX(T_Info[],MATCH(T_MLD[[#This Row],[Codigo]],T_Info[Codigo],0),COLUMN(T_Info[Losa Fundación])),"")</f>
        <v/>
      </c>
      <c r="J42" s="58"/>
      <c r="K42" s="58"/>
      <c r="L42" s="58"/>
      <c r="M42" s="58"/>
      <c r="N42" s="58"/>
      <c r="O42" s="58"/>
      <c r="P42" s="58"/>
      <c r="Q42" s="58"/>
      <c r="R42" s="58"/>
      <c r="S42" s="58"/>
      <c r="T42" s="58">
        <v>82981.899999999994</v>
      </c>
    </row>
    <row r="43" spans="1:20" x14ac:dyDescent="0.25">
      <c r="A43" s="2">
        <v>18007</v>
      </c>
      <c r="B43" s="3" t="str" cm="1">
        <f t="array" ref="B43">INDEX(T_Info[],MATCH(T_MLD[[#This Row],[Codigo]],T_Info[Codigo],0),COLUMN(T_Info[Proyecto]))</f>
        <v>Alcántara</v>
      </c>
      <c r="C43" s="2" t="str" cm="1">
        <f t="array" ref="C43">INDEX(T_Info[],MATCH(T_MLD[[#This Row],[Codigo]],T_Info[Codigo],0),COLUMN(T_Info[T.S]))</f>
        <v>B</v>
      </c>
      <c r="D43" s="2" cm="1">
        <f t="array" ref="D43">INDEX(T_Info[],MATCH(T_MLD[[#This Row],[Codigo]],T_Info[Codigo],0),COLUMN(T_Info[Z.S]))</f>
        <v>2</v>
      </c>
      <c r="E43" s="2" cm="1">
        <f t="array" ref="E43">INDEX(T_Info[],MATCH(T_MLD[[#This Row],[Codigo]],T_Info[Codigo],0),COLUMN(T_Info[Pisos]))</f>
        <v>14</v>
      </c>
      <c r="F43" s="2" cm="1">
        <f t="array" ref="F43">INDEX(T_Info[],MATCH(T_MLD[[#This Row],[Codigo]],T_Info[Codigo],0),COLUMN(T_Info[Subt.]))</f>
        <v>3</v>
      </c>
      <c r="G43" s="26" cm="1">
        <f t="array" ref="G43">INDEX(T_Info[],MATCH(T_MLD[[#This Row],[Codigo]],T_Info[Codigo],0),COLUMN(T_Info[Superficie m2]))</f>
        <v>12532.51</v>
      </c>
      <c r="H43" s="2" t="str" cm="1">
        <f t="array" ref="H43">IF(INDEX(T_Info[],MATCH(T_MLD[[#This Row],[Codigo]],T_Info[Codigo],0),COLUMN(T_Info[Postensado]))&lt;&gt;"",INDEX(T_Info[],MATCH(T_MLD[[#This Row],[Codigo]],T_Info[Codigo],0),COLUMN(T_Info[Postensado])),"")</f>
        <v/>
      </c>
      <c r="I43" s="2" t="str" cm="1">
        <f t="array" ref="I43">IF(INDEX(T_Info[],MATCH(T_MLD[[#This Row],[Codigo]],T_Info[Codigo],0),COLUMN(T_Info[Losa Fundación]))&lt;&gt;"",INDEX(T_Info[],MATCH(T_MLD[[#This Row],[Codigo]],T_Info[Codigo],0),COLUMN(T_Info[Losa Fundación])),"")</f>
        <v/>
      </c>
      <c r="J43" s="58"/>
      <c r="K43" s="58"/>
      <c r="L43" s="58"/>
      <c r="M43" s="58"/>
      <c r="N43" s="58"/>
      <c r="O43" s="58"/>
      <c r="P43" s="58"/>
      <c r="Q43" s="58"/>
      <c r="R43" s="58"/>
      <c r="S43" s="58"/>
      <c r="T43" s="58">
        <v>28140.294589220437</v>
      </c>
    </row>
    <row r="44" spans="1:20" x14ac:dyDescent="0.25">
      <c r="A44" s="2">
        <v>18039</v>
      </c>
      <c r="B44" s="3" t="str" cm="1">
        <f t="array" ref="B44">INDEX(T_Info[],MATCH(T_MLD[[#This Row],[Codigo]],T_Info[Codigo],0),COLUMN(T_Info[Proyecto]))</f>
        <v>Portofino</v>
      </c>
      <c r="C44" s="2" t="str" cm="1">
        <f t="array" ref="C44">INDEX(T_Info[],MATCH(T_MLD[[#This Row],[Codigo]],T_Info[Codigo],0),COLUMN(T_Info[T.S]))</f>
        <v>B</v>
      </c>
      <c r="D44" s="2" cm="1">
        <f t="array" ref="D44">INDEX(T_Info[],MATCH(T_MLD[[#This Row],[Codigo]],T_Info[Codigo],0),COLUMN(T_Info[Z.S]))</f>
        <v>2</v>
      </c>
      <c r="E44" s="2" cm="1">
        <f t="array" ref="E44">INDEX(T_Info[],MATCH(T_MLD[[#This Row],[Codigo]],T_Info[Codigo],0),COLUMN(T_Info[Pisos]))</f>
        <v>15</v>
      </c>
      <c r="F44" s="2" cm="1">
        <f t="array" ref="F44">INDEX(T_Info[],MATCH(T_MLD[[#This Row],[Codigo]],T_Info[Codigo],0),COLUMN(T_Info[Subt.]))</f>
        <v>2</v>
      </c>
      <c r="G44" s="26" cm="1">
        <f t="array" ref="G44">INDEX(T_Info[],MATCH(T_MLD[[#This Row],[Codigo]],T_Info[Codigo],0),COLUMN(T_Info[Superficie m2]))</f>
        <v>10710.52</v>
      </c>
      <c r="H44" s="2" t="str" cm="1">
        <f t="array" ref="H44">IF(INDEX(T_Info[],MATCH(T_MLD[[#This Row],[Codigo]],T_Info[Codigo],0),COLUMN(T_Info[Postensado]))&lt;&gt;"",INDEX(T_Info[],MATCH(T_MLD[[#This Row],[Codigo]],T_Info[Codigo],0),COLUMN(T_Info[Postensado])),"")</f>
        <v/>
      </c>
      <c r="I44" s="2" t="str" cm="1">
        <f t="array" ref="I44">IF(INDEX(T_Info[],MATCH(T_MLD[[#This Row],[Codigo]],T_Info[Codigo],0),COLUMN(T_Info[Losa Fundación]))&lt;&gt;"",INDEX(T_Info[],MATCH(T_MLD[[#This Row],[Codigo]],T_Info[Codigo],0),COLUMN(T_Info[Losa Fundación])),"")</f>
        <v/>
      </c>
      <c r="J44" s="58"/>
      <c r="K44" s="58"/>
      <c r="L44" s="58"/>
      <c r="M44" s="58"/>
      <c r="N44" s="58"/>
      <c r="O44" s="58"/>
      <c r="P44" s="58"/>
      <c r="Q44" s="58"/>
      <c r="R44" s="58"/>
      <c r="S44" s="58"/>
      <c r="T44" s="58">
        <v>26677.05</v>
      </c>
    </row>
    <row r="45" spans="1:20" x14ac:dyDescent="0.25">
      <c r="A45" s="2">
        <v>18044</v>
      </c>
      <c r="B45" s="3" t="str" cm="1">
        <f t="array" ref="B45">INDEX(T_Info[],MATCH(T_MLD[[#This Row],[Codigo]],T_Info[Codigo],0),COLUMN(T_Info[Proyecto]))</f>
        <v>San Joaquin</v>
      </c>
      <c r="C45" s="2" t="str" cm="1">
        <f t="array" ref="C45">INDEX(T_Info[],MATCH(T_MLD[[#This Row],[Codigo]],T_Info[Codigo],0),COLUMN(T_Info[T.S]))</f>
        <v>B</v>
      </c>
      <c r="D45" s="2" cm="1">
        <f t="array" ref="D45">INDEX(T_Info[],MATCH(T_MLD[[#This Row],[Codigo]],T_Info[Codigo],0),COLUMN(T_Info[Z.S]))</f>
        <v>2</v>
      </c>
      <c r="E45" s="2" cm="1">
        <f t="array" ref="E45">INDEX(T_Info[],MATCH(T_MLD[[#This Row],[Codigo]],T_Info[Codigo],0),COLUMN(T_Info[Pisos]))</f>
        <v>16</v>
      </c>
      <c r="F45" s="2" cm="1">
        <f t="array" ref="F45">INDEX(T_Info[],MATCH(T_MLD[[#This Row],[Codigo]],T_Info[Codigo],0),COLUMN(T_Info[Subt.]))</f>
        <v>1</v>
      </c>
      <c r="G45" s="26" cm="1">
        <f t="array" ref="G45">INDEX(T_Info[],MATCH(T_MLD[[#This Row],[Codigo]],T_Info[Codigo],0),COLUMN(T_Info[Superficie m2]))</f>
        <v>33962.75</v>
      </c>
      <c r="H45" s="2" t="str" cm="1">
        <f t="array" ref="H45">IF(INDEX(T_Info[],MATCH(T_MLD[[#This Row],[Codigo]],T_Info[Codigo],0),COLUMN(T_Info[Postensado]))&lt;&gt;"",INDEX(T_Info[],MATCH(T_MLD[[#This Row],[Codigo]],T_Info[Codigo],0),COLUMN(T_Info[Postensado])),"")</f>
        <v/>
      </c>
      <c r="I45" s="2" t="str" cm="1">
        <f t="array" ref="I45">IF(INDEX(T_Info[],MATCH(T_MLD[[#This Row],[Codigo]],T_Info[Codigo],0),COLUMN(T_Info[Losa Fundación]))&lt;&gt;"",INDEX(T_Info[],MATCH(T_MLD[[#This Row],[Codigo]],T_Info[Codigo],0),COLUMN(T_Info[Losa Fundación])),"")</f>
        <v/>
      </c>
      <c r="J45" s="58"/>
      <c r="K45" s="58"/>
      <c r="L45" s="58"/>
      <c r="M45" s="58"/>
      <c r="N45" s="58"/>
      <c r="O45" s="58"/>
      <c r="P45" s="58"/>
      <c r="Q45" s="58"/>
      <c r="R45" s="58"/>
      <c r="S45" s="58"/>
      <c r="T45" s="58">
        <v>0</v>
      </c>
    </row>
    <row r="46" spans="1:20" x14ac:dyDescent="0.25">
      <c r="A46" s="2">
        <v>18057</v>
      </c>
      <c r="B46" s="3" t="str" cm="1">
        <f t="array" ref="B46">INDEX(T_Info[],MATCH(T_MLD[[#This Row],[Codigo]],T_Info[Codigo],0),COLUMN(T_Info[Proyecto]))</f>
        <v>2 Norte</v>
      </c>
      <c r="C46" s="2" t="str" cm="1">
        <f t="array" ref="C46">INDEX(T_Info[],MATCH(T_MLD[[#This Row],[Codigo]],T_Info[Codigo],0),COLUMN(T_Info[T.S]))</f>
        <v>D</v>
      </c>
      <c r="D46" s="2" cm="1">
        <f t="array" ref="D46">INDEX(T_Info[],MATCH(T_MLD[[#This Row],[Codigo]],T_Info[Codigo],0),COLUMN(T_Info[Z.S]))</f>
        <v>3</v>
      </c>
      <c r="E46" s="2" cm="1">
        <f t="array" ref="E46">INDEX(T_Info[],MATCH(T_MLD[[#This Row],[Codigo]],T_Info[Codigo],0),COLUMN(T_Info[Pisos]))</f>
        <v>17</v>
      </c>
      <c r="F46" s="2" cm="1">
        <f t="array" ref="F46">INDEX(T_Info[],MATCH(T_MLD[[#This Row],[Codigo]],T_Info[Codigo],0),COLUMN(T_Info[Subt.]))</f>
        <v>2</v>
      </c>
      <c r="G46" s="26" cm="1">
        <f t="array" ref="G46">INDEX(T_Info[],MATCH(T_MLD[[#This Row],[Codigo]],T_Info[Codigo],0),COLUMN(T_Info[Superficie m2]))</f>
        <v>10358.24</v>
      </c>
      <c r="H46" s="2" t="str" cm="1">
        <f t="array" ref="H46">IF(INDEX(T_Info[],MATCH(T_MLD[[#This Row],[Codigo]],T_Info[Codigo],0),COLUMN(T_Info[Postensado]))&lt;&gt;"",INDEX(T_Info[],MATCH(T_MLD[[#This Row],[Codigo]],T_Info[Codigo],0),COLUMN(T_Info[Postensado])),"")</f>
        <v/>
      </c>
      <c r="I46" s="2" t="str" cm="1">
        <f t="array" ref="I46">IF(INDEX(T_Info[],MATCH(T_MLD[[#This Row],[Codigo]],T_Info[Codigo],0),COLUMN(T_Info[Losa Fundación]))&lt;&gt;"",INDEX(T_Info[],MATCH(T_MLD[[#This Row],[Codigo]],T_Info[Codigo],0),COLUMN(T_Info[Losa Fundación])),"")</f>
        <v/>
      </c>
      <c r="J46" s="58"/>
      <c r="K46" s="58"/>
      <c r="L46" s="58"/>
      <c r="M46" s="58"/>
      <c r="N46" s="58"/>
      <c r="O46" s="58"/>
      <c r="P46" s="58"/>
      <c r="Q46" s="58"/>
      <c r="R46" s="58"/>
      <c r="S46" s="58"/>
      <c r="T46" s="58">
        <v>25806.320000000003</v>
      </c>
    </row>
    <row r="47" spans="1:20" x14ac:dyDescent="0.25">
      <c r="A47" s="2">
        <v>18063</v>
      </c>
      <c r="B47" s="3" t="str" cm="1">
        <f t="array" ref="B47">INDEX(T_Info[],MATCH(T_MLD[[#This Row],[Codigo]],T_Info[Codigo],0),COLUMN(T_Info[Proyecto]))</f>
        <v>Lyon BOX</v>
      </c>
      <c r="C47" s="2" t="str" cm="1">
        <f t="array" ref="C47">INDEX(T_Info[],MATCH(T_MLD[[#This Row],[Codigo]],T_Info[Codigo],0),COLUMN(T_Info[T.S]))</f>
        <v>B</v>
      </c>
      <c r="D47" s="2" cm="1">
        <f t="array" ref="D47">INDEX(T_Info[],MATCH(T_MLD[[#This Row],[Codigo]],T_Info[Codigo],0),COLUMN(T_Info[Z.S]))</f>
        <v>2</v>
      </c>
      <c r="E47" s="2" cm="1">
        <f t="array" ref="E47">INDEX(T_Info[],MATCH(T_MLD[[#This Row],[Codigo]],T_Info[Codigo],0),COLUMN(T_Info[Pisos]))</f>
        <v>8</v>
      </c>
      <c r="F47" s="2" cm="1">
        <f t="array" ref="F47">INDEX(T_Info[],MATCH(T_MLD[[#This Row],[Codigo]],T_Info[Codigo],0),COLUMN(T_Info[Subt.]))</f>
        <v>2</v>
      </c>
      <c r="G47" s="26" cm="1">
        <f t="array" ref="G47">INDEX(T_Info[],MATCH(T_MLD[[#This Row],[Codigo]],T_Info[Codigo],0),COLUMN(T_Info[Superficie m2]))</f>
        <v>6906.02</v>
      </c>
      <c r="H47" s="2" t="str" cm="1">
        <f t="array" ref="H47">IF(INDEX(T_Info[],MATCH(T_MLD[[#This Row],[Codigo]],T_Info[Codigo],0),COLUMN(T_Info[Postensado]))&lt;&gt;"",INDEX(T_Info[],MATCH(T_MLD[[#This Row],[Codigo]],T_Info[Codigo],0),COLUMN(T_Info[Postensado])),"")</f>
        <v/>
      </c>
      <c r="I47" s="2" t="str" cm="1">
        <f t="array" ref="I47">IF(INDEX(T_Info[],MATCH(T_MLD[[#This Row],[Codigo]],T_Info[Codigo],0),COLUMN(T_Info[Losa Fundación]))&lt;&gt;"",INDEX(T_Info[],MATCH(T_MLD[[#This Row],[Codigo]],T_Info[Codigo],0),COLUMN(T_Info[Losa Fundación])),"")</f>
        <v/>
      </c>
      <c r="J47" s="58"/>
      <c r="K47" s="58"/>
      <c r="L47" s="58"/>
      <c r="M47" s="58"/>
      <c r="N47" s="58"/>
      <c r="O47" s="58"/>
      <c r="P47" s="58"/>
      <c r="Q47" s="58"/>
      <c r="R47" s="58"/>
      <c r="S47" s="58"/>
      <c r="T47" s="58">
        <v>16899.400000000001</v>
      </c>
    </row>
    <row r="48" spans="1:20" x14ac:dyDescent="0.25">
      <c r="A48" s="2">
        <v>18072</v>
      </c>
      <c r="B48" s="3" t="str" cm="1">
        <f t="array" ref="B48">INDEX(T_Info[],MATCH(T_MLD[[#This Row],[Codigo]],T_Info[Codigo],0),COLUMN(T_Info[Proyecto]))</f>
        <v>Eliodoro</v>
      </c>
      <c r="C48" s="2" t="str" cm="1">
        <f t="array" ref="C48">INDEX(T_Info[],MATCH(T_MLD[[#This Row],[Codigo]],T_Info[Codigo],0),COLUMN(T_Info[T.S]))</f>
        <v>B</v>
      </c>
      <c r="D48" s="2" cm="1">
        <f t="array" ref="D48">INDEX(T_Info[],MATCH(T_MLD[[#This Row],[Codigo]],T_Info[Codigo],0),COLUMN(T_Info[Z.S]))</f>
        <v>2</v>
      </c>
      <c r="E48" s="2" cm="1">
        <f t="array" ref="E48">INDEX(T_Info[],MATCH(T_MLD[[#This Row],[Codigo]],T_Info[Codigo],0),COLUMN(T_Info[Pisos]))</f>
        <v>12</v>
      </c>
      <c r="F48" s="2" cm="1">
        <f t="array" ref="F48">INDEX(T_Info[],MATCH(T_MLD[[#This Row],[Codigo]],T_Info[Codigo],0),COLUMN(T_Info[Subt.]))</f>
        <v>3</v>
      </c>
      <c r="G48" s="26" cm="1">
        <f t="array" ref="G48">INDEX(T_Info[],MATCH(T_MLD[[#This Row],[Codigo]],T_Info[Codigo],0),COLUMN(T_Info[Superficie m2]))</f>
        <v>17234.18</v>
      </c>
      <c r="H48" s="2" t="str" cm="1">
        <f t="array" ref="H48">IF(INDEX(T_Info[],MATCH(T_MLD[[#This Row],[Codigo]],T_Info[Codigo],0),COLUMN(T_Info[Postensado]))&lt;&gt;"",INDEX(T_Info[],MATCH(T_MLD[[#This Row],[Codigo]],T_Info[Codigo],0),COLUMN(T_Info[Postensado])),"")</f>
        <v/>
      </c>
      <c r="I48" s="2" t="str" cm="1">
        <f t="array" ref="I48">IF(INDEX(T_Info[],MATCH(T_MLD[[#This Row],[Codigo]],T_Info[Codigo],0),COLUMN(T_Info[Losa Fundación]))&lt;&gt;"",INDEX(T_Info[],MATCH(T_MLD[[#This Row],[Codigo]],T_Info[Codigo],0),COLUMN(T_Info[Losa Fundación])),"")</f>
        <v/>
      </c>
      <c r="J48" s="58"/>
      <c r="K48" s="58"/>
      <c r="L48" s="58"/>
      <c r="M48" s="58"/>
      <c r="N48" s="58"/>
      <c r="O48" s="58"/>
      <c r="P48" s="58"/>
      <c r="Q48" s="58"/>
      <c r="R48" s="58"/>
      <c r="S48" s="58"/>
      <c r="T48" s="58">
        <v>40759</v>
      </c>
    </row>
    <row r="49" spans="1:20" x14ac:dyDescent="0.25">
      <c r="A49" s="2">
        <v>18081</v>
      </c>
      <c r="B49" s="3" t="str" cm="1">
        <f t="array" ref="B49">INDEX(T_Info[],MATCH(T_MLD[[#This Row],[Codigo]],T_Info[Codigo],0),COLUMN(T_Info[Proyecto]))</f>
        <v>Villaseca (V0)</v>
      </c>
      <c r="C49" s="2" t="str" cm="1">
        <f t="array" ref="C49">INDEX(T_Info[],MATCH(T_MLD[[#This Row],[Codigo]],T_Info[Codigo],0),COLUMN(T_Info[T.S]))</f>
        <v>B</v>
      </c>
      <c r="D49" s="2" cm="1">
        <f t="array" ref="D49">INDEX(T_Info[],MATCH(T_MLD[[#This Row],[Codigo]],T_Info[Codigo],0),COLUMN(T_Info[Z.S]))</f>
        <v>2</v>
      </c>
      <c r="E49" s="2" cm="1">
        <f t="array" ref="E49">INDEX(T_Info[],MATCH(T_MLD[[#This Row],[Codigo]],T_Info[Codigo],0),COLUMN(T_Info[Pisos]))</f>
        <v>7</v>
      </c>
      <c r="F49" s="2" cm="1">
        <f t="array" ref="F49">INDEX(T_Info[],MATCH(T_MLD[[#This Row],[Codigo]],T_Info[Codigo],0),COLUMN(T_Info[Subt.]))</f>
        <v>2</v>
      </c>
      <c r="G49" s="26" cm="1">
        <f t="array" ref="G49">INDEX(T_Info[],MATCH(T_MLD[[#This Row],[Codigo]],T_Info[Codigo],0),COLUMN(T_Info[Superficie m2]))</f>
        <v>12550.05</v>
      </c>
      <c r="H49" s="2" t="str" cm="1">
        <f t="array" ref="H49">IF(INDEX(T_Info[],MATCH(T_MLD[[#This Row],[Codigo]],T_Info[Codigo],0),COLUMN(T_Info[Postensado]))&lt;&gt;"",INDEX(T_Info[],MATCH(T_MLD[[#This Row],[Codigo]],T_Info[Codigo],0),COLUMN(T_Info[Postensado])),"")</f>
        <v/>
      </c>
      <c r="I49" s="2" t="str" cm="1">
        <f t="array" ref="I49">IF(INDEX(T_Info[],MATCH(T_MLD[[#This Row],[Codigo]],T_Info[Codigo],0),COLUMN(T_Info[Losa Fundación]))&lt;&gt;"",INDEX(T_Info[],MATCH(T_MLD[[#This Row],[Codigo]],T_Info[Codigo],0),COLUMN(T_Info[Losa Fundación])),"")</f>
        <v/>
      </c>
      <c r="J49" s="58"/>
      <c r="K49" s="58"/>
      <c r="L49" s="58"/>
      <c r="M49" s="58"/>
      <c r="N49" s="58"/>
      <c r="O49" s="58"/>
      <c r="P49" s="58"/>
      <c r="Q49" s="58"/>
      <c r="R49" s="58"/>
      <c r="S49" s="58"/>
      <c r="T49" s="58">
        <v>28377.200000000001</v>
      </c>
    </row>
    <row r="50" spans="1:20" x14ac:dyDescent="0.25">
      <c r="A50" s="2">
        <v>19006</v>
      </c>
      <c r="B50" s="3" t="str" cm="1">
        <f t="array" ref="B50">INDEX(T_Info[],MATCH(T_MLD[[#This Row],[Codigo]],T_Info[Codigo],0),COLUMN(T_Info[Proyecto]))</f>
        <v>Eliecer Parada</v>
      </c>
      <c r="C50" s="2" t="str" cm="1">
        <f t="array" ref="C50">INDEX(T_Info[],MATCH(T_MLD[[#This Row],[Codigo]],T_Info[Codigo],0),COLUMN(T_Info[T.S]))</f>
        <v>B</v>
      </c>
      <c r="D50" s="2" cm="1">
        <f t="array" ref="D50">INDEX(T_Info[],MATCH(T_MLD[[#This Row],[Codigo]],T_Info[Codigo],0),COLUMN(T_Info[Z.S]))</f>
        <v>2</v>
      </c>
      <c r="E50" s="2" cm="1">
        <f t="array" ref="E50">INDEX(T_Info[],MATCH(T_MLD[[#This Row],[Codigo]],T_Info[Codigo],0),COLUMN(T_Info[Pisos]))</f>
        <v>7</v>
      </c>
      <c r="F50" s="2" cm="1">
        <f t="array" ref="F50">INDEX(T_Info[],MATCH(T_MLD[[#This Row],[Codigo]],T_Info[Codigo],0),COLUMN(T_Info[Subt.]))</f>
        <v>2</v>
      </c>
      <c r="G50" s="26" cm="1">
        <f t="array" ref="G50">INDEX(T_Info[],MATCH(T_MLD[[#This Row],[Codigo]],T_Info[Codigo],0),COLUMN(T_Info[Superficie m2]))</f>
        <v>10043.77</v>
      </c>
      <c r="H50" s="2" t="str" cm="1">
        <f t="array" ref="H50">IF(INDEX(T_Info[],MATCH(T_MLD[[#This Row],[Codigo]],T_Info[Codigo],0),COLUMN(T_Info[Postensado]))&lt;&gt;"",INDEX(T_Info[],MATCH(T_MLD[[#This Row],[Codigo]],T_Info[Codigo],0),COLUMN(T_Info[Postensado])),"")</f>
        <v/>
      </c>
      <c r="I50" s="2" t="str" cm="1">
        <f t="array" ref="I50">IF(INDEX(T_Info[],MATCH(T_MLD[[#This Row],[Codigo]],T_Info[Codigo],0),COLUMN(T_Info[Losa Fundación]))&lt;&gt;"",INDEX(T_Info[],MATCH(T_MLD[[#This Row],[Codigo]],T_Info[Codigo],0),COLUMN(T_Info[Losa Fundación])),"")</f>
        <v/>
      </c>
      <c r="J50" s="58"/>
      <c r="K50" s="58"/>
      <c r="L50" s="58"/>
      <c r="M50" s="58"/>
      <c r="N50" s="58"/>
      <c r="O50" s="58"/>
      <c r="P50" s="58"/>
      <c r="Q50" s="58"/>
      <c r="R50" s="58"/>
      <c r="S50" s="58"/>
      <c r="T50" s="58">
        <v>22603.8</v>
      </c>
    </row>
    <row r="51" spans="1:20" x14ac:dyDescent="0.25">
      <c r="A51" s="2">
        <v>19009</v>
      </c>
      <c r="B51" s="3" t="str" cm="1">
        <f t="array" ref="B51">INDEX(T_Info[],MATCH(T_MLD[[#This Row],[Codigo]],T_Info[Codigo],0),COLUMN(T_Info[Proyecto]))</f>
        <v>San Diego</v>
      </c>
      <c r="C51" s="2" t="str" cm="1">
        <f t="array" ref="C51">INDEX(T_Info[],MATCH(T_MLD[[#This Row],[Codigo]],T_Info[Codigo],0),COLUMN(T_Info[T.S]))</f>
        <v>B</v>
      </c>
      <c r="D51" s="2" cm="1">
        <f t="array" ref="D51">INDEX(T_Info[],MATCH(T_MLD[[#This Row],[Codigo]],T_Info[Codigo],0),COLUMN(T_Info[Z.S]))</f>
        <v>2</v>
      </c>
      <c r="E51" s="2" cm="1">
        <f t="array" ref="E51">INDEX(T_Info[],MATCH(T_MLD[[#This Row],[Codigo]],T_Info[Codigo],0),COLUMN(T_Info[Pisos]))</f>
        <v>9</v>
      </c>
      <c r="F51" s="2" cm="1">
        <f t="array" ref="F51">INDEX(T_Info[],MATCH(T_MLD[[#This Row],[Codigo]],T_Info[Codigo],0),COLUMN(T_Info[Subt.]))</f>
        <v>3</v>
      </c>
      <c r="G51" s="26" cm="1">
        <f t="array" ref="G51">INDEX(T_Info[],MATCH(T_MLD[[#This Row],[Codigo]],T_Info[Codigo],0),COLUMN(T_Info[Superficie m2]))</f>
        <v>13376.77</v>
      </c>
      <c r="H51" s="2" t="str" cm="1">
        <f t="array" ref="H51">IF(INDEX(T_Info[],MATCH(T_MLD[[#This Row],[Codigo]],T_Info[Codigo],0),COLUMN(T_Info[Postensado]))&lt;&gt;"",INDEX(T_Info[],MATCH(T_MLD[[#This Row],[Codigo]],T_Info[Codigo],0),COLUMN(T_Info[Postensado])),"")</f>
        <v/>
      </c>
      <c r="I51" s="2" t="str" cm="1">
        <f t="array" ref="I51">IF(INDEX(T_Info[],MATCH(T_MLD[[#This Row],[Codigo]],T_Info[Codigo],0),COLUMN(T_Info[Losa Fundación]))&lt;&gt;"",INDEX(T_Info[],MATCH(T_MLD[[#This Row],[Codigo]],T_Info[Codigo],0),COLUMN(T_Info[Losa Fundación])),"")</f>
        <v/>
      </c>
      <c r="J51" s="58"/>
      <c r="K51" s="58"/>
      <c r="L51" s="58"/>
      <c r="M51" s="58"/>
      <c r="N51" s="58"/>
      <c r="O51" s="58"/>
      <c r="P51" s="58"/>
      <c r="Q51" s="58"/>
      <c r="R51" s="58"/>
      <c r="S51" s="58"/>
      <c r="T51" s="58">
        <v>33551</v>
      </c>
    </row>
    <row r="52" spans="1:20" x14ac:dyDescent="0.25">
      <c r="A52" s="2">
        <v>19014</v>
      </c>
      <c r="B52" s="3" t="str" cm="1">
        <f t="array" ref="B52">INDEX(T_Info[],MATCH(T_MLD[[#This Row],[Codigo]],T_Info[Codigo],0),COLUMN(T_Info[Proyecto]))</f>
        <v>San Eugenio</v>
      </c>
      <c r="C52" s="2" t="str" cm="1">
        <f t="array" ref="C52">INDEX(T_Info[],MATCH(T_MLD[[#This Row],[Codigo]],T_Info[Codigo],0),COLUMN(T_Info[T.S]))</f>
        <v>B</v>
      </c>
      <c r="D52" s="2" cm="1">
        <f t="array" ref="D52">INDEX(T_Info[],MATCH(T_MLD[[#This Row],[Codigo]],T_Info[Codigo],0),COLUMN(T_Info[Z.S]))</f>
        <v>2</v>
      </c>
      <c r="E52" s="2" cm="1">
        <f t="array" ref="E52">INDEX(T_Info[],MATCH(T_MLD[[#This Row],[Codigo]],T_Info[Codigo],0),COLUMN(T_Info[Pisos]))</f>
        <v>21</v>
      </c>
      <c r="F52" s="2" cm="1">
        <f t="array" ref="F52">INDEX(T_Info[],MATCH(T_MLD[[#This Row],[Codigo]],T_Info[Codigo],0),COLUMN(T_Info[Subt.]))</f>
        <v>2</v>
      </c>
      <c r="G52" s="26" cm="1">
        <f t="array" ref="G52">INDEX(T_Info[],MATCH(T_MLD[[#This Row],[Codigo]],T_Info[Codigo],0),COLUMN(T_Info[Superficie m2]))</f>
        <v>20840.91</v>
      </c>
      <c r="H52" s="2" t="str" cm="1">
        <f t="array" ref="H52">IF(INDEX(T_Info[],MATCH(T_MLD[[#This Row],[Codigo]],T_Info[Codigo],0),COLUMN(T_Info[Postensado]))&lt;&gt;"",INDEX(T_Info[],MATCH(T_MLD[[#This Row],[Codigo]],T_Info[Codigo],0),COLUMN(T_Info[Postensado])),"")</f>
        <v/>
      </c>
      <c r="I52" s="2" t="str" cm="1">
        <f t="array" ref="I52">IF(INDEX(T_Info[],MATCH(T_MLD[[#This Row],[Codigo]],T_Info[Codigo],0),COLUMN(T_Info[Losa Fundación]))&lt;&gt;"",INDEX(T_Info[],MATCH(T_MLD[[#This Row],[Codigo]],T_Info[Codigo],0),COLUMN(T_Info[Losa Fundación])),"")</f>
        <v/>
      </c>
      <c r="J52" s="58"/>
      <c r="K52" s="58"/>
      <c r="L52" s="58"/>
      <c r="M52" s="58"/>
      <c r="N52" s="58"/>
      <c r="O52" s="58"/>
      <c r="P52" s="58"/>
      <c r="Q52" s="58"/>
      <c r="R52" s="58"/>
      <c r="S52" s="58"/>
      <c r="T52" s="58">
        <v>48269.9</v>
      </c>
    </row>
    <row r="53" spans="1:20" x14ac:dyDescent="0.25">
      <c r="A53" s="2">
        <v>19016</v>
      </c>
      <c r="B53" s="3" t="str" cm="1">
        <f t="array" ref="B53">INDEX(T_Info[],MATCH(T_MLD[[#This Row],[Codigo]],T_Info[Codigo],0),COLUMN(T_Info[Proyecto]))</f>
        <v>Juan de Pineda (V0)</v>
      </c>
      <c r="C53" s="2" t="str" cm="1">
        <f t="array" ref="C53">INDEX(T_Info[],MATCH(T_MLD[[#This Row],[Codigo]],T_Info[Codigo],0),COLUMN(T_Info[T.S]))</f>
        <v>C</v>
      </c>
      <c r="D53" s="2" cm="1">
        <f t="array" ref="D53">INDEX(T_Info[],MATCH(T_MLD[[#This Row],[Codigo]],T_Info[Codigo],0),COLUMN(T_Info[Z.S]))</f>
        <v>2</v>
      </c>
      <c r="E53" s="2" cm="1">
        <f t="array" ref="E53">INDEX(T_Info[],MATCH(T_MLD[[#This Row],[Codigo]],T_Info[Codigo],0),COLUMN(T_Info[Pisos]))</f>
        <v>8</v>
      </c>
      <c r="F53" s="2" cm="1">
        <f t="array" ref="F53">INDEX(T_Info[],MATCH(T_MLD[[#This Row],[Codigo]],T_Info[Codigo],0),COLUMN(T_Info[Subt.]))</f>
        <v>1</v>
      </c>
      <c r="G53" s="26" cm="1">
        <f t="array" ref="G53">INDEX(T_Info[],MATCH(T_MLD[[#This Row],[Codigo]],T_Info[Codigo],0),COLUMN(T_Info[Superficie m2]))</f>
        <v>7712.49</v>
      </c>
      <c r="H53" s="2" t="str" cm="1">
        <f t="array" ref="H53">IF(INDEX(T_Info[],MATCH(T_MLD[[#This Row],[Codigo]],T_Info[Codigo],0),COLUMN(T_Info[Postensado]))&lt;&gt;"",INDEX(T_Info[],MATCH(T_MLD[[#This Row],[Codigo]],T_Info[Codigo],0),COLUMN(T_Info[Postensado])),"")</f>
        <v/>
      </c>
      <c r="I53" s="2" t="str" cm="1">
        <f t="array" ref="I53">IF(INDEX(T_Info[],MATCH(T_MLD[[#This Row],[Codigo]],T_Info[Codigo],0),COLUMN(T_Info[Losa Fundación]))&lt;&gt;"",INDEX(T_Info[],MATCH(T_MLD[[#This Row],[Codigo]],T_Info[Codigo],0),COLUMN(T_Info[Losa Fundación])),"")</f>
        <v/>
      </c>
      <c r="J53" s="58"/>
      <c r="K53" s="58"/>
      <c r="L53" s="58"/>
      <c r="M53" s="58"/>
      <c r="N53" s="58"/>
      <c r="O53" s="58"/>
      <c r="P53" s="58"/>
      <c r="Q53" s="58"/>
      <c r="R53" s="58"/>
      <c r="S53" s="58"/>
      <c r="T53" s="58">
        <v>18758.620000000003</v>
      </c>
    </row>
    <row r="54" spans="1:20" x14ac:dyDescent="0.25">
      <c r="A54" s="2">
        <v>19051</v>
      </c>
      <c r="B54" s="3" t="str" cm="1">
        <f t="array" ref="B54">INDEX(T_Info[],MATCH(T_MLD[[#This Row],[Codigo]],T_Info[Codigo],0),COLUMN(T_Info[Proyecto]))</f>
        <v>Santa Amalia</v>
      </c>
      <c r="C54" s="2" t="str" cm="1">
        <f t="array" ref="C54">INDEX(T_Info[],MATCH(T_MLD[[#This Row],[Codigo]],T_Info[Codigo],0),COLUMN(T_Info[T.S]))</f>
        <v>B</v>
      </c>
      <c r="D54" s="2" cm="1">
        <f t="array" ref="D54">INDEX(T_Info[],MATCH(T_MLD[[#This Row],[Codigo]],T_Info[Codigo],0),COLUMN(T_Info[Z.S]))</f>
        <v>2</v>
      </c>
      <c r="E54" s="2" cm="1">
        <f t="array" ref="E54">INDEX(T_Info[],MATCH(T_MLD[[#This Row],[Codigo]],T_Info[Codigo],0),COLUMN(T_Info[Pisos]))</f>
        <v>5</v>
      </c>
      <c r="F54" s="2" cm="1">
        <f t="array" ref="F54">INDEX(T_Info[],MATCH(T_MLD[[#This Row],[Codigo]],T_Info[Codigo],0),COLUMN(T_Info[Subt.]))</f>
        <v>1</v>
      </c>
      <c r="G54" s="26" cm="1">
        <f t="array" ref="G54">INDEX(T_Info[],MATCH(T_MLD[[#This Row],[Codigo]],T_Info[Codigo],0),COLUMN(T_Info[Superficie m2]))</f>
        <v>5015.8999999999996</v>
      </c>
      <c r="H54" s="2" t="str" cm="1">
        <f t="array" ref="H54">IF(INDEX(T_Info[],MATCH(T_MLD[[#This Row],[Codigo]],T_Info[Codigo],0),COLUMN(T_Info[Postensado]))&lt;&gt;"",INDEX(T_Info[],MATCH(T_MLD[[#This Row],[Codigo]],T_Info[Codigo],0),COLUMN(T_Info[Postensado])),"")</f>
        <v/>
      </c>
      <c r="I54" s="2" t="str" cm="1">
        <f t="array" ref="I54">IF(INDEX(T_Info[],MATCH(T_MLD[[#This Row],[Codigo]],T_Info[Codigo],0),COLUMN(T_Info[Losa Fundación]))&lt;&gt;"",INDEX(T_Info[],MATCH(T_MLD[[#This Row],[Codigo]],T_Info[Codigo],0),COLUMN(T_Info[Losa Fundación])),"")</f>
        <v/>
      </c>
      <c r="J54" s="58"/>
      <c r="K54" s="58"/>
      <c r="L54" s="58"/>
      <c r="M54" s="58"/>
      <c r="N54" s="58"/>
      <c r="O54" s="58"/>
      <c r="P54" s="58"/>
      <c r="Q54" s="58"/>
      <c r="R54" s="58"/>
      <c r="S54" s="58"/>
      <c r="T54" s="58">
        <v>13539.4</v>
      </c>
    </row>
    <row r="55" spans="1:20" x14ac:dyDescent="0.25">
      <c r="A55" s="2">
        <v>19058</v>
      </c>
      <c r="B55" s="3" t="str" cm="1">
        <f t="array" ref="B55">INDEX(T_Info[],MATCH(T_MLD[[#This Row],[Codigo]],T_Info[Codigo],0),COLUMN(T_Info[Proyecto]))</f>
        <v>Carmen Fariña</v>
      </c>
      <c r="C55" s="2" t="str" cm="1">
        <f t="array" ref="C55">INDEX(T_Info[],MATCH(T_MLD[[#This Row],[Codigo]],T_Info[Codigo],0),COLUMN(T_Info[T.S]))</f>
        <v>B</v>
      </c>
      <c r="D55" s="2" cm="1">
        <f t="array" ref="D55">INDEX(T_Info[],MATCH(T_MLD[[#This Row],[Codigo]],T_Info[Codigo],0),COLUMN(T_Info[Z.S]))</f>
        <v>2</v>
      </c>
      <c r="E55" s="2" cm="1">
        <f t="array" ref="E55">INDEX(T_Info[],MATCH(T_MLD[[#This Row],[Codigo]],T_Info[Codigo],0),COLUMN(T_Info[Pisos]))</f>
        <v>7</v>
      </c>
      <c r="F55" s="2" cm="1">
        <f t="array" ref="F55">INDEX(T_Info[],MATCH(T_MLD[[#This Row],[Codigo]],T_Info[Codigo],0),COLUMN(T_Info[Subt.]))</f>
        <v>2</v>
      </c>
      <c r="G55" s="26" cm="1">
        <f t="array" ref="G55">INDEX(T_Info[],MATCH(T_MLD[[#This Row],[Codigo]],T_Info[Codigo],0),COLUMN(T_Info[Superficie m2]))</f>
        <v>10586.32</v>
      </c>
      <c r="H55" s="2" t="str" cm="1">
        <f t="array" ref="H55">IF(INDEX(T_Info[],MATCH(T_MLD[[#This Row],[Codigo]],T_Info[Codigo],0),COLUMN(T_Info[Postensado]))&lt;&gt;"",INDEX(T_Info[],MATCH(T_MLD[[#This Row],[Codigo]],T_Info[Codigo],0),COLUMN(T_Info[Postensado])),"")</f>
        <v/>
      </c>
      <c r="I55" s="2" t="str" cm="1">
        <f t="array" ref="I55">IF(INDEX(T_Info[],MATCH(T_MLD[[#This Row],[Codigo]],T_Info[Codigo],0),COLUMN(T_Info[Losa Fundación]))&lt;&gt;"",INDEX(T_Info[],MATCH(T_MLD[[#This Row],[Codigo]],T_Info[Codigo],0),COLUMN(T_Info[Losa Fundación])),"")</f>
        <v/>
      </c>
      <c r="J55" s="58"/>
      <c r="K55" s="58"/>
      <c r="L55" s="58"/>
      <c r="M55" s="58"/>
      <c r="N55" s="58"/>
      <c r="O55" s="58"/>
      <c r="P55" s="58"/>
      <c r="Q55" s="58"/>
      <c r="R55" s="58"/>
      <c r="S55" s="58"/>
      <c r="T55" s="58">
        <f>SUM(T_MLD[[#This Row],[Fund Lat m2]:[Escalera m2]])</f>
        <v>0</v>
      </c>
    </row>
    <row r="56" spans="1:20" x14ac:dyDescent="0.25">
      <c r="A56" s="2">
        <v>19068</v>
      </c>
      <c r="B56" s="3" t="str" cm="1">
        <f t="array" ref="B56">INDEX(T_Info[],MATCH(T_MLD[[#This Row],[Codigo]],T_Info[Codigo],0),COLUMN(T_Info[Proyecto]))</f>
        <v>Domingo Faustino S.</v>
      </c>
      <c r="C56" s="2" t="str" cm="1">
        <f t="array" ref="C56">INDEX(T_Info[],MATCH(T_MLD[[#This Row],[Codigo]],T_Info[Codigo],0),COLUMN(T_Info[T.S]))</f>
        <v>B</v>
      </c>
      <c r="D56" s="2" cm="1">
        <f t="array" ref="D56">INDEX(T_Info[],MATCH(T_MLD[[#This Row],[Codigo]],T_Info[Codigo],0),COLUMN(T_Info[Z.S]))</f>
        <v>2</v>
      </c>
      <c r="E56" s="2" cm="1">
        <f t="array" ref="E56">INDEX(T_Info[],MATCH(T_MLD[[#This Row],[Codigo]],T_Info[Codigo],0),COLUMN(T_Info[Pisos]))</f>
        <v>15</v>
      </c>
      <c r="F56" s="2" cm="1">
        <f t="array" ref="F56">INDEX(T_Info[],MATCH(T_MLD[[#This Row],[Codigo]],T_Info[Codigo],0),COLUMN(T_Info[Subt.]))</f>
        <v>4</v>
      </c>
      <c r="G56" s="26" cm="1">
        <f t="array" ref="G56">INDEX(T_Info[],MATCH(T_MLD[[#This Row],[Codigo]],T_Info[Codigo],0),COLUMN(T_Info[Superficie m2]))</f>
        <v>11699.02</v>
      </c>
      <c r="H56" s="2" t="str" cm="1">
        <f t="array" ref="H56">IF(INDEX(T_Info[],MATCH(T_MLD[[#This Row],[Codigo]],T_Info[Codigo],0),COLUMN(T_Info[Postensado]))&lt;&gt;"",INDEX(T_Info[],MATCH(T_MLD[[#This Row],[Codigo]],T_Info[Codigo],0),COLUMN(T_Info[Postensado])),"")</f>
        <v/>
      </c>
      <c r="I56" s="2" t="str" cm="1">
        <f t="array" ref="I56">IF(INDEX(T_Info[],MATCH(T_MLD[[#This Row],[Codigo]],T_Info[Codigo],0),COLUMN(T_Info[Losa Fundación]))&lt;&gt;"",INDEX(T_Info[],MATCH(T_MLD[[#This Row],[Codigo]],T_Info[Codigo],0),COLUMN(T_Info[Losa Fundación])),"")</f>
        <v/>
      </c>
      <c r="J56" s="58"/>
      <c r="K56" s="58"/>
      <c r="L56" s="58"/>
      <c r="M56" s="58"/>
      <c r="N56" s="58"/>
      <c r="O56" s="58"/>
      <c r="P56" s="58"/>
      <c r="Q56" s="58"/>
      <c r="R56" s="58"/>
      <c r="S56" s="58"/>
      <c r="T56" s="58">
        <f>SUM(T_MLD[[#This Row],[Fund Lat m2]:[Escalera m2]])</f>
        <v>0</v>
      </c>
    </row>
    <row r="57" spans="1:20" x14ac:dyDescent="0.25">
      <c r="A57" s="2">
        <v>19078</v>
      </c>
      <c r="B57" s="3" t="str" cm="1">
        <f t="array" ref="B57">INDEX(T_Info[],MATCH(T_MLD[[#This Row],[Codigo]],T_Info[Codigo],0),COLUMN(T_Info[Proyecto]))</f>
        <v>Las Lilas Habitacional</v>
      </c>
      <c r="C57" s="2" t="str" cm="1">
        <f t="array" ref="C57">INDEX(T_Info[],MATCH(T_MLD[[#This Row],[Codigo]],T_Info[Codigo],0),COLUMN(T_Info[T.S]))</f>
        <v>B</v>
      </c>
      <c r="D57" s="2" cm="1">
        <f t="array" ref="D57">INDEX(T_Info[],MATCH(T_MLD[[#This Row],[Codigo]],T_Info[Codigo],0),COLUMN(T_Info[Z.S]))</f>
        <v>2</v>
      </c>
      <c r="E57" s="2" cm="1">
        <f t="array" ref="E57">INDEX(T_Info[],MATCH(T_MLD[[#This Row],[Codigo]],T_Info[Codigo],0),COLUMN(T_Info[Pisos]))</f>
        <v>12</v>
      </c>
      <c r="F57" s="2" cm="1">
        <f t="array" ref="F57">INDEX(T_Info[],MATCH(T_MLD[[#This Row],[Codigo]],T_Info[Codigo],0),COLUMN(T_Info[Subt.]))</f>
        <v>2</v>
      </c>
      <c r="G57" s="26" cm="1">
        <f t="array" ref="G57">INDEX(T_Info[],MATCH(T_MLD[[#This Row],[Codigo]],T_Info[Codigo],0),COLUMN(T_Info[Superficie m2]))</f>
        <v>21858</v>
      </c>
      <c r="H57" s="2" t="str" cm="1">
        <f t="array" ref="H57">IF(INDEX(T_Info[],MATCH(T_MLD[[#This Row],[Codigo]],T_Info[Codigo],0),COLUMN(T_Info[Postensado]))&lt;&gt;"",INDEX(T_Info[],MATCH(T_MLD[[#This Row],[Codigo]],T_Info[Codigo],0),COLUMN(T_Info[Postensado])),"")</f>
        <v/>
      </c>
      <c r="I57" s="2" t="str" cm="1">
        <f t="array" ref="I57">IF(INDEX(T_Info[],MATCH(T_MLD[[#This Row],[Codigo]],T_Info[Codigo],0),COLUMN(T_Info[Losa Fundación]))&lt;&gt;"",INDEX(T_Info[],MATCH(T_MLD[[#This Row],[Codigo]],T_Info[Codigo],0),COLUMN(T_Info[Losa Fundación])),"")</f>
        <v/>
      </c>
      <c r="J57" s="58"/>
      <c r="K57" s="58"/>
      <c r="L57" s="58"/>
      <c r="M57" s="58"/>
      <c r="N57" s="58"/>
      <c r="O57" s="58"/>
      <c r="P57" s="58"/>
      <c r="Q57" s="58"/>
      <c r="R57" s="58"/>
      <c r="S57" s="58"/>
      <c r="T57" s="58">
        <f>SUM(T_MLD[[#This Row],[Fund Lat m2]:[Escalera m2]])</f>
        <v>0</v>
      </c>
    </row>
    <row r="58" spans="1:20" x14ac:dyDescent="0.25">
      <c r="A58" s="2">
        <v>19079</v>
      </c>
      <c r="B58" s="3" t="str" cm="1">
        <f t="array" ref="B58">INDEX(T_Info[],MATCH(T_MLD[[#This Row],[Codigo]],T_Info[Codigo],0),COLUMN(T_Info[Proyecto]))</f>
        <v>Las Lilas Oficinas</v>
      </c>
      <c r="C58" s="2" t="str" cm="1">
        <f t="array" ref="C58">INDEX(T_Info[],MATCH(T_MLD[[#This Row],[Codigo]],T_Info[Codigo],0),COLUMN(T_Info[T.S]))</f>
        <v>B</v>
      </c>
      <c r="D58" s="2" cm="1">
        <f t="array" ref="D58">INDEX(T_Info[],MATCH(T_MLD[[#This Row],[Codigo]],T_Info[Codigo],0),COLUMN(T_Info[Z.S]))</f>
        <v>2</v>
      </c>
      <c r="E58" s="2" cm="1">
        <f t="array" ref="E58">INDEX(T_Info[],MATCH(T_MLD[[#This Row],[Codigo]],T_Info[Codigo],0),COLUMN(T_Info[Pisos]))</f>
        <v>10</v>
      </c>
      <c r="F58" s="2" cm="1">
        <f t="array" ref="F58">INDEX(T_Info[],MATCH(T_MLD[[#This Row],[Codigo]],T_Info[Codigo],0),COLUMN(T_Info[Subt.]))</f>
        <v>3</v>
      </c>
      <c r="G58" s="26" cm="1">
        <f t="array" ref="G58">INDEX(T_Info[],MATCH(T_MLD[[#This Row],[Codigo]],T_Info[Codigo],0),COLUMN(T_Info[Superficie m2]))</f>
        <v>12291.44</v>
      </c>
      <c r="H58" s="2" t="str" cm="1">
        <f t="array" ref="H58">IF(INDEX(T_Info[],MATCH(T_MLD[[#This Row],[Codigo]],T_Info[Codigo],0),COLUMN(T_Info[Postensado]))&lt;&gt;"",INDEX(T_Info[],MATCH(T_MLD[[#This Row],[Codigo]],T_Info[Codigo],0),COLUMN(T_Info[Postensado])),"")</f>
        <v/>
      </c>
      <c r="I58" s="2" t="str" cm="1">
        <f t="array" ref="I58">IF(INDEX(T_Info[],MATCH(T_MLD[[#This Row],[Codigo]],T_Info[Codigo],0),COLUMN(T_Info[Losa Fundación]))&lt;&gt;"",INDEX(T_Info[],MATCH(T_MLD[[#This Row],[Codigo]],T_Info[Codigo],0),COLUMN(T_Info[Losa Fundación])),"")</f>
        <v/>
      </c>
      <c r="J58" s="58"/>
      <c r="K58" s="58"/>
      <c r="L58" s="58"/>
      <c r="M58" s="58"/>
      <c r="N58" s="58"/>
      <c r="O58" s="58"/>
      <c r="P58" s="58"/>
      <c r="Q58" s="58"/>
      <c r="R58" s="58"/>
      <c r="S58" s="58"/>
      <c r="T58" s="58">
        <f>SUM(T_MLD[[#This Row],[Fund Lat m2]:[Escalera m2]])</f>
        <v>0</v>
      </c>
    </row>
    <row r="59" spans="1:20" x14ac:dyDescent="0.25">
      <c r="A59" s="2">
        <v>19080</v>
      </c>
      <c r="B59" s="3" t="str" cm="1">
        <f t="array" ref="B59">INDEX(T_Info[],MATCH(T_MLD[[#This Row],[Codigo]],T_Info[Codigo],0),COLUMN(T_Info[Proyecto]))</f>
        <v>Vista Costanera Torre A</v>
      </c>
      <c r="C59" s="2" t="str" cm="1">
        <f t="array" ref="C59">INDEX(T_Info[],MATCH(T_MLD[[#This Row],[Codigo]],T_Info[Codigo],0),COLUMN(T_Info[T.S]))</f>
        <v>B</v>
      </c>
      <c r="D59" s="2" cm="1">
        <f t="array" ref="D59">INDEX(T_Info[],MATCH(T_MLD[[#This Row],[Codigo]],T_Info[Codigo],0),COLUMN(T_Info[Z.S]))</f>
        <v>2</v>
      </c>
      <c r="E59" s="2" cm="1">
        <f t="array" ref="E59">INDEX(T_Info[],MATCH(T_MLD[[#This Row],[Codigo]],T_Info[Codigo],0),COLUMN(T_Info[Pisos]))</f>
        <v>10</v>
      </c>
      <c r="F59" s="2" cm="1">
        <f t="array" ref="F59">INDEX(T_Info[],MATCH(T_MLD[[#This Row],[Codigo]],T_Info[Codigo],0),COLUMN(T_Info[Subt.]))</f>
        <v>1</v>
      </c>
      <c r="G59" s="26" cm="1">
        <f t="array" ref="G59">INDEX(T_Info[],MATCH(T_MLD[[#This Row],[Codigo]],T_Info[Codigo],0),COLUMN(T_Info[Superficie m2]))</f>
        <v>9977.68</v>
      </c>
      <c r="H59" s="2" t="str" cm="1">
        <f t="array" ref="H59">IF(INDEX(T_Info[],MATCH(T_MLD[[#This Row],[Codigo]],T_Info[Codigo],0),COLUMN(T_Info[Postensado]))&lt;&gt;"",INDEX(T_Info[],MATCH(T_MLD[[#This Row],[Codigo]],T_Info[Codigo],0),COLUMN(T_Info[Postensado])),"")</f>
        <v/>
      </c>
      <c r="I59" s="2" t="str" cm="1">
        <f t="array" ref="I59">IF(INDEX(T_Info[],MATCH(T_MLD[[#This Row],[Codigo]],T_Info[Codigo],0),COLUMN(T_Info[Losa Fundación]))&lt;&gt;"",INDEX(T_Info[],MATCH(T_MLD[[#This Row],[Codigo]],T_Info[Codigo],0),COLUMN(T_Info[Losa Fundación])),"")</f>
        <v/>
      </c>
      <c r="J59" s="58"/>
      <c r="K59" s="58"/>
      <c r="L59" s="58"/>
      <c r="M59" s="58"/>
      <c r="N59" s="58"/>
      <c r="O59" s="58"/>
      <c r="P59" s="58"/>
      <c r="Q59" s="58"/>
      <c r="R59" s="58"/>
      <c r="S59" s="58"/>
      <c r="T59" s="58">
        <f>SUM(T_MLD[[#This Row],[Fund Lat m2]:[Escalera m2]])</f>
        <v>0</v>
      </c>
    </row>
    <row r="60" spans="1:20" x14ac:dyDescent="0.25">
      <c r="A60" s="2">
        <v>20011</v>
      </c>
      <c r="B60" s="3" t="str" cm="1">
        <f t="array" ref="B60">INDEX(T_Info[],MATCH(T_MLD[[#This Row],[Codigo]],T_Info[Codigo],0),COLUMN(T_Info[Proyecto]))</f>
        <v>Padre Le Paige Torre B</v>
      </c>
      <c r="C60" s="2" t="str" cm="1">
        <f t="array" ref="C60">INDEX(T_Info[],MATCH(T_MLD[[#This Row],[Codigo]],T_Info[Codigo],0),COLUMN(T_Info[T.S]))</f>
        <v>C</v>
      </c>
      <c r="D60" s="2" cm="1">
        <f t="array" ref="D60">INDEX(T_Info[],MATCH(T_MLD[[#This Row],[Codigo]],T_Info[Codigo],0),COLUMN(T_Info[Z.S]))</f>
        <v>2</v>
      </c>
      <c r="E60" s="2" cm="1">
        <f t="array" ref="E60">INDEX(T_Info[],MATCH(T_MLD[[#This Row],[Codigo]],T_Info[Codigo],0),COLUMN(T_Info[Pisos]))</f>
        <v>11</v>
      </c>
      <c r="F60" s="2" cm="1">
        <f t="array" ref="F60">INDEX(T_Info[],MATCH(T_MLD[[#This Row],[Codigo]],T_Info[Codigo],0),COLUMN(T_Info[Subt.]))</f>
        <v>1</v>
      </c>
      <c r="G60" s="26" cm="1">
        <f t="array" ref="G60">INDEX(T_Info[],MATCH(T_MLD[[#This Row],[Codigo]],T_Info[Codigo],0),COLUMN(T_Info[Superficie m2]))</f>
        <v>15217.59</v>
      </c>
      <c r="H60" s="2" t="str" cm="1">
        <f t="array" ref="H60">IF(INDEX(T_Info[],MATCH(T_MLD[[#This Row],[Codigo]],T_Info[Codigo],0),COLUMN(T_Info[Postensado]))&lt;&gt;"",INDEX(T_Info[],MATCH(T_MLD[[#This Row],[Codigo]],T_Info[Codigo],0),COLUMN(T_Info[Postensado])),"")</f>
        <v/>
      </c>
      <c r="I60" s="2" t="str" cm="1">
        <f t="array" ref="I60">IF(INDEX(T_Info[],MATCH(T_MLD[[#This Row],[Codigo]],T_Info[Codigo],0),COLUMN(T_Info[Losa Fundación]))&lt;&gt;"",INDEX(T_Info[],MATCH(T_MLD[[#This Row],[Codigo]],T_Info[Codigo],0),COLUMN(T_Info[Losa Fundación])),"")</f>
        <v>Si</v>
      </c>
      <c r="J60" s="58"/>
      <c r="K60" s="58"/>
      <c r="L60" s="58"/>
      <c r="M60" s="58"/>
      <c r="N60" s="58"/>
      <c r="O60" s="58"/>
      <c r="P60" s="58"/>
      <c r="Q60" s="58"/>
      <c r="R60" s="58"/>
      <c r="S60" s="58"/>
      <c r="T60" s="58">
        <f>SUM(T_MLD[[#This Row],[Fund Lat m2]:[Escalera m2]])</f>
        <v>0</v>
      </c>
    </row>
    <row r="61" spans="1:20" x14ac:dyDescent="0.25">
      <c r="A61" s="2">
        <v>19028</v>
      </c>
      <c r="B61" s="3" t="str" cm="1">
        <f t="array" ref="B61">INDEX(T_Info[],MATCH(T_MLD[[#This Row],[Codigo]],T_Info[Codigo],0),COLUMN(T_Info[Proyecto]))</f>
        <v>Edificio Franklin Torre A</v>
      </c>
      <c r="C61" s="2" t="str" cm="1">
        <f t="array" ref="C61">INDEX(T_Info[],MATCH(T_MLD[[#This Row],[Codigo]],T_Info[Codigo],0),COLUMN(T_Info[T.S]))</f>
        <v>C</v>
      </c>
      <c r="D61" s="2" cm="1">
        <f t="array" ref="D61">INDEX(T_Info[],MATCH(T_MLD[[#This Row],[Codigo]],T_Info[Codigo],0),COLUMN(T_Info[Z.S]))</f>
        <v>2</v>
      </c>
      <c r="E61" s="2" cm="1">
        <f t="array" ref="E61">INDEX(T_Info[],MATCH(T_MLD[[#This Row],[Codigo]],T_Info[Codigo],0),COLUMN(T_Info[Pisos]))</f>
        <v>19</v>
      </c>
      <c r="F61" s="2" cm="1">
        <f t="array" ref="F61">INDEX(T_Info[],MATCH(T_MLD[[#This Row],[Codigo]],T_Info[Codigo],0),COLUMN(T_Info[Subt.]))</f>
        <v>3</v>
      </c>
      <c r="G61" s="26" cm="1">
        <f t="array" ref="G61">INDEX(T_Info[],MATCH(T_MLD[[#This Row],[Codigo]],T_Info[Codigo],0),COLUMN(T_Info[Superficie m2]))</f>
        <v>19464.099999999999</v>
      </c>
      <c r="H61" s="2" t="str" cm="1">
        <f t="array" ref="H61">IF(INDEX(T_Info[],MATCH(T_MLD[[#This Row],[Codigo]],T_Info[Codigo],0),COLUMN(T_Info[Postensado]))&lt;&gt;"",INDEX(T_Info[],MATCH(T_MLD[[#This Row],[Codigo]],T_Info[Codigo],0),COLUMN(T_Info[Postensado])),"")</f>
        <v/>
      </c>
      <c r="I61" s="2" t="str" cm="1">
        <f t="array" ref="I61">IF(INDEX(T_Info[],MATCH(T_MLD[[#This Row],[Codigo]],T_Info[Codigo],0),COLUMN(T_Info[Losa Fundación]))&lt;&gt;"",INDEX(T_Info[],MATCH(T_MLD[[#This Row],[Codigo]],T_Info[Codigo],0),COLUMN(T_Info[Losa Fundación])),"")</f>
        <v/>
      </c>
      <c r="J61" s="58"/>
      <c r="K61" s="58"/>
      <c r="L61" s="58"/>
      <c r="M61" s="58"/>
      <c r="N61" s="58"/>
      <c r="O61" s="58"/>
      <c r="P61" s="58"/>
      <c r="Q61" s="58"/>
      <c r="R61" s="58"/>
      <c r="S61" s="58"/>
      <c r="T61" s="58">
        <f>SUM(T_MLD[[#This Row],[Fund Lat m2]:[Escalera m2]])</f>
        <v>0</v>
      </c>
    </row>
    <row r="62" spans="1:20" x14ac:dyDescent="0.25">
      <c r="A62" s="2">
        <v>20018</v>
      </c>
      <c r="B62" s="3" t="str" cm="1">
        <f t="array" ref="B62">INDEX(T_Info[],MATCH(T_MLD[[#This Row],[Codigo]],T_Info[Codigo],0),COLUMN(T_Info[Proyecto]))</f>
        <v>Montemar</v>
      </c>
      <c r="C62" s="2" t="str" cm="1">
        <f t="array" ref="C62">INDEX(T_Info[],MATCH(T_MLD[[#This Row],[Codigo]],T_Info[Codigo],0),COLUMN(T_Info[T.S]))</f>
        <v>C</v>
      </c>
      <c r="D62" s="2" cm="1">
        <f t="array" ref="D62">INDEX(T_Info[],MATCH(T_MLD[[#This Row],[Codigo]],T_Info[Codigo],0),COLUMN(T_Info[Z.S]))</f>
        <v>3</v>
      </c>
      <c r="E62" s="2" cm="1">
        <f t="array" ref="E62">INDEX(T_Info[],MATCH(T_MLD[[#This Row],[Codigo]],T_Info[Codigo],0),COLUMN(T_Info[Pisos]))</f>
        <v>20</v>
      </c>
      <c r="F62" s="2" cm="1">
        <f t="array" ref="F62">INDEX(T_Info[],MATCH(T_MLD[[#This Row],[Codigo]],T_Info[Codigo],0),COLUMN(T_Info[Subt.]))</f>
        <v>2</v>
      </c>
      <c r="G62" s="26" cm="1">
        <f t="array" ref="G62">INDEX(T_Info[],MATCH(T_MLD[[#This Row],[Codigo]],T_Info[Codigo],0),COLUMN(T_Info[Superficie m2]))</f>
        <v>21702.18</v>
      </c>
      <c r="H62" s="2" t="str" cm="1">
        <f t="array" ref="H62">IF(INDEX(T_Info[],MATCH(T_MLD[[#This Row],[Codigo]],T_Info[Codigo],0),COLUMN(T_Info[Postensado]))&lt;&gt;"",INDEX(T_Info[],MATCH(T_MLD[[#This Row],[Codigo]],T_Info[Codigo],0),COLUMN(T_Info[Postensado])),"")</f>
        <v/>
      </c>
      <c r="I62" s="2" t="str" cm="1">
        <f t="array" ref="I62">IF(INDEX(T_Info[],MATCH(T_MLD[[#This Row],[Codigo]],T_Info[Codigo],0),COLUMN(T_Info[Losa Fundación]))&lt;&gt;"",INDEX(T_Info[],MATCH(T_MLD[[#This Row],[Codigo]],T_Info[Codigo],0),COLUMN(T_Info[Losa Fundación])),"")</f>
        <v/>
      </c>
      <c r="J62" s="58"/>
      <c r="K62" s="58"/>
      <c r="L62" s="58"/>
      <c r="M62" s="58"/>
      <c r="N62" s="58"/>
      <c r="O62" s="58"/>
      <c r="P62" s="58"/>
      <c r="Q62" s="58"/>
      <c r="R62" s="58"/>
      <c r="S62" s="58"/>
      <c r="T62" s="58">
        <f>SUM(T_MLD[[#This Row],[Fund Lat m2]:[Escalera m2]])</f>
        <v>0</v>
      </c>
    </row>
    <row r="63" spans="1:20" x14ac:dyDescent="0.25">
      <c r="A63" s="2">
        <v>20020</v>
      </c>
      <c r="B63" s="3" t="str" cm="1">
        <f t="array" ref="B63">INDEX(T_Info[],MATCH(T_MLD[[#This Row],[Codigo]],T_Info[Codigo],0),COLUMN(T_Info[Proyecto]))</f>
        <v>Alderete Torre A</v>
      </c>
      <c r="C63" s="2" t="str" cm="1">
        <f t="array" ref="C63">INDEX(T_Info[],MATCH(T_MLD[[#This Row],[Codigo]],T_Info[Codigo],0),COLUMN(T_Info[T.S]))</f>
        <v>B</v>
      </c>
      <c r="D63" s="2" cm="1">
        <f t="array" ref="D63">INDEX(T_Info[],MATCH(T_MLD[[#This Row],[Codigo]],T_Info[Codigo],0),COLUMN(T_Info[Z.S]))</f>
        <v>2</v>
      </c>
      <c r="E63" s="2" cm="1">
        <f t="array" ref="E63">INDEX(T_Info[],MATCH(T_MLD[[#This Row],[Codigo]],T_Info[Codigo],0),COLUMN(T_Info[Pisos]))</f>
        <v>11</v>
      </c>
      <c r="F63" s="2" cm="1">
        <f t="array" ref="F63">INDEX(T_Info[],MATCH(T_MLD[[#This Row],[Codigo]],T_Info[Codigo],0),COLUMN(T_Info[Subt.]))</f>
        <v>2</v>
      </c>
      <c r="G63" s="26" cm="1">
        <f t="array" ref="G63">INDEX(T_Info[],MATCH(T_MLD[[#This Row],[Codigo]],T_Info[Codigo],0),COLUMN(T_Info[Superficie m2]))</f>
        <v>15026.89</v>
      </c>
      <c r="H63" s="2" t="str" cm="1">
        <f t="array" ref="H63">IF(INDEX(T_Info[],MATCH(T_MLD[[#This Row],[Codigo]],T_Info[Codigo],0),COLUMN(T_Info[Postensado]))&lt;&gt;"",INDEX(T_Info[],MATCH(T_MLD[[#This Row],[Codigo]],T_Info[Codigo],0),COLUMN(T_Info[Postensado])),"")</f>
        <v/>
      </c>
      <c r="I63" s="2" t="str" cm="1">
        <f t="array" ref="I63">IF(INDEX(T_Info[],MATCH(T_MLD[[#This Row],[Codigo]],T_Info[Codigo],0),COLUMN(T_Info[Losa Fundación]))&lt;&gt;"",INDEX(T_Info[],MATCH(T_MLD[[#This Row],[Codigo]],T_Info[Codigo],0),COLUMN(T_Info[Losa Fundación])),"")</f>
        <v/>
      </c>
      <c r="J63" s="58"/>
      <c r="K63" s="58"/>
      <c r="L63" s="58"/>
      <c r="M63" s="58"/>
      <c r="N63" s="58"/>
      <c r="O63" s="58"/>
      <c r="P63" s="58"/>
      <c r="Q63" s="58"/>
      <c r="R63" s="58"/>
      <c r="S63" s="58"/>
      <c r="T63" s="58">
        <f>SUM(T_MLD[[#This Row],[Fund Lat m2]:[Escalera m2]])</f>
        <v>0</v>
      </c>
    </row>
    <row r="64" spans="1:20" x14ac:dyDescent="0.25">
      <c r="A64" s="2">
        <v>20022</v>
      </c>
      <c r="B64" s="3" t="str" cm="1">
        <f t="array" ref="B64">INDEX(T_Info[],MATCH(T_MLD[[#This Row],[Codigo]],T_Info[Codigo],0),COLUMN(T_Info[Proyecto]))</f>
        <v>General del Canto</v>
      </c>
      <c r="C64" s="2" t="str" cm="1">
        <f t="array" ref="C64">INDEX(T_Info[],MATCH(T_MLD[[#This Row],[Codigo]],T_Info[Codigo],0),COLUMN(T_Info[T.S]))</f>
        <v>B</v>
      </c>
      <c r="D64" s="2" cm="1">
        <f t="array" ref="D64">INDEX(T_Info[],MATCH(T_MLD[[#This Row],[Codigo]],T_Info[Codigo],0),COLUMN(T_Info[Z.S]))</f>
        <v>2</v>
      </c>
      <c r="E64" s="2" cm="1">
        <f t="array" ref="E64">INDEX(T_Info[],MATCH(T_MLD[[#This Row],[Codigo]],T_Info[Codigo],0),COLUMN(T_Info[Pisos]))</f>
        <v>10</v>
      </c>
      <c r="F64" s="2" cm="1">
        <f t="array" ref="F64">INDEX(T_Info[],MATCH(T_MLD[[#This Row],[Codigo]],T_Info[Codigo],0),COLUMN(T_Info[Subt.]))</f>
        <v>3</v>
      </c>
      <c r="G64" s="26" cm="1">
        <f t="array" ref="G64">INDEX(T_Info[],MATCH(T_MLD[[#This Row],[Codigo]],T_Info[Codigo],0),COLUMN(T_Info[Superficie m2]))</f>
        <v>13520.53</v>
      </c>
      <c r="H64" s="2" t="str" cm="1">
        <f t="array" ref="H64">IF(INDEX(T_Info[],MATCH(T_MLD[[#This Row],[Codigo]],T_Info[Codigo],0),COLUMN(T_Info[Postensado]))&lt;&gt;"",INDEX(T_Info[],MATCH(T_MLD[[#This Row],[Codigo]],T_Info[Codigo],0),COLUMN(T_Info[Postensado])),"")</f>
        <v/>
      </c>
      <c r="I64" s="2" t="str" cm="1">
        <f t="array" ref="I64">IF(INDEX(T_Info[],MATCH(T_MLD[[#This Row],[Codigo]],T_Info[Codigo],0),COLUMN(T_Info[Losa Fundación]))&lt;&gt;"",INDEX(T_Info[],MATCH(T_MLD[[#This Row],[Codigo]],T_Info[Codigo],0),COLUMN(T_Info[Losa Fundación])),"")</f>
        <v/>
      </c>
      <c r="J64" s="58"/>
      <c r="K64" s="58"/>
      <c r="L64" s="58"/>
      <c r="M64" s="58"/>
      <c r="N64" s="58"/>
      <c r="O64" s="58"/>
      <c r="P64" s="58"/>
      <c r="Q64" s="58"/>
      <c r="R64" s="58"/>
      <c r="S64" s="58"/>
      <c r="T64" s="58">
        <f>SUM(T_MLD[[#This Row],[Fund Lat m2]:[Escalera m2]])</f>
        <v>0</v>
      </c>
    </row>
    <row r="65" spans="1:20" x14ac:dyDescent="0.25">
      <c r="A65" s="2">
        <v>20039</v>
      </c>
      <c r="B65" s="3" t="str" cm="1">
        <f t="array" ref="B65">INDEX(T_Info[],MATCH(T_MLD[[#This Row],[Codigo]],T_Info[Codigo],0),COLUMN(T_Info[Proyecto]))</f>
        <v>Cinerarias</v>
      </c>
      <c r="C65" s="2" t="str" cm="1">
        <f t="array" ref="C65">INDEX(T_Info[],MATCH(T_MLD[[#This Row],[Codigo]],T_Info[Codigo],0),COLUMN(T_Info[T.S]))</f>
        <v>C</v>
      </c>
      <c r="D65" s="2" cm="1">
        <f t="array" ref="D65">INDEX(T_Info[],MATCH(T_MLD[[#This Row],[Codigo]],T_Info[Codigo],0),COLUMN(T_Info[Z.S]))</f>
        <v>3</v>
      </c>
      <c r="E65" s="2" cm="1">
        <f t="array" ref="E65">INDEX(T_Info[],MATCH(T_MLD[[#This Row],[Codigo]],T_Info[Codigo],0),COLUMN(T_Info[Pisos]))</f>
        <v>17</v>
      </c>
      <c r="F65" s="2" cm="1">
        <f t="array" ref="F65">INDEX(T_Info[],MATCH(T_MLD[[#This Row],[Codigo]],T_Info[Codigo],0),COLUMN(T_Info[Subt.]))</f>
        <v>2</v>
      </c>
      <c r="G65" s="26" cm="1">
        <f t="array" ref="G65">INDEX(T_Info[],MATCH(T_MLD[[#This Row],[Codigo]],T_Info[Codigo],0),COLUMN(T_Info[Superficie m2]))</f>
        <v>12603.3</v>
      </c>
      <c r="H65" s="2" t="str" cm="1">
        <f t="array" ref="H65">IF(INDEX(T_Info[],MATCH(T_MLD[[#This Row],[Codigo]],T_Info[Codigo],0),COLUMN(T_Info[Postensado]))&lt;&gt;"",INDEX(T_Info[],MATCH(T_MLD[[#This Row],[Codigo]],T_Info[Codigo],0),COLUMN(T_Info[Postensado])),"")</f>
        <v/>
      </c>
      <c r="I65" s="2" t="str" cm="1">
        <f t="array" ref="I65">IF(INDEX(T_Info[],MATCH(T_MLD[[#This Row],[Codigo]],T_Info[Codigo],0),COLUMN(T_Info[Losa Fundación]))&lt;&gt;"",INDEX(T_Info[],MATCH(T_MLD[[#This Row],[Codigo]],T_Info[Codigo],0),COLUMN(T_Info[Losa Fundación])),"")</f>
        <v>Si</v>
      </c>
      <c r="J65" s="58"/>
      <c r="K65" s="58"/>
      <c r="L65" s="58"/>
      <c r="M65" s="58"/>
      <c r="N65" s="58"/>
      <c r="O65" s="58"/>
      <c r="P65" s="58"/>
      <c r="Q65" s="58"/>
      <c r="R65" s="58"/>
      <c r="S65" s="58"/>
      <c r="T65" s="58">
        <f>SUM(T_MLD[[#This Row],[Fund Lat m2]:[Escalera m2]])</f>
        <v>0</v>
      </c>
    </row>
    <row r="66" spans="1:20" x14ac:dyDescent="0.25">
      <c r="A66" s="2">
        <v>20044</v>
      </c>
      <c r="B66" s="3" t="str" cm="1">
        <f t="array" ref="B66">INDEX(T_Info[],MATCH(T_MLD[[#This Row],[Codigo]],T_Info[Codigo],0),COLUMN(T_Info[Proyecto]))</f>
        <v>Celia Solar</v>
      </c>
      <c r="C66" s="2" t="str" cm="1">
        <f t="array" ref="C66">INDEX(T_Info[],MATCH(T_MLD[[#This Row],[Codigo]],T_Info[Codigo],0),COLUMN(T_Info[T.S]))</f>
        <v>B</v>
      </c>
      <c r="D66" s="2" cm="1">
        <f t="array" ref="D66">INDEX(T_Info[],MATCH(T_MLD[[#This Row],[Codigo]],T_Info[Codigo],0),COLUMN(T_Info[Z.S]))</f>
        <v>2</v>
      </c>
      <c r="E66" s="2" cm="1">
        <f t="array" ref="E66">INDEX(T_Info[],MATCH(T_MLD[[#This Row],[Codigo]],T_Info[Codigo],0),COLUMN(T_Info[Pisos]))</f>
        <v>19</v>
      </c>
      <c r="F66" s="2" cm="1">
        <f t="array" ref="F66">INDEX(T_Info[],MATCH(T_MLD[[#This Row],[Codigo]],T_Info[Codigo],0),COLUMN(T_Info[Subt.]))</f>
        <v>1</v>
      </c>
      <c r="G66" s="26" cm="1">
        <f t="array" ref="G66">INDEX(T_Info[],MATCH(T_MLD[[#This Row],[Codigo]],T_Info[Codigo],0),COLUMN(T_Info[Superficie m2]))</f>
        <v>19652.88</v>
      </c>
      <c r="H66" s="2" t="str" cm="1">
        <f t="array" ref="H66">IF(INDEX(T_Info[],MATCH(T_MLD[[#This Row],[Codigo]],T_Info[Codigo],0),COLUMN(T_Info[Postensado]))&lt;&gt;"",INDEX(T_Info[],MATCH(T_MLD[[#This Row],[Codigo]],T_Info[Codigo],0),COLUMN(T_Info[Postensado])),"")</f>
        <v/>
      </c>
      <c r="I66" s="2" t="str" cm="1">
        <f t="array" ref="I66">IF(INDEX(T_Info[],MATCH(T_MLD[[#This Row],[Codigo]],T_Info[Codigo],0),COLUMN(T_Info[Losa Fundación]))&lt;&gt;"",INDEX(T_Info[],MATCH(T_MLD[[#This Row],[Codigo]],T_Info[Codigo],0),COLUMN(T_Info[Losa Fundación])),"")</f>
        <v/>
      </c>
      <c r="J66" s="58"/>
      <c r="K66" s="58"/>
      <c r="L66" s="58"/>
      <c r="M66" s="58"/>
      <c r="N66" s="58"/>
      <c r="O66" s="58"/>
      <c r="P66" s="58"/>
      <c r="Q66" s="58"/>
      <c r="R66" s="58"/>
      <c r="S66" s="58"/>
      <c r="T66" s="58">
        <f>SUM(T_MLD[[#This Row],[Fund Lat m2]:[Escalera m2]])</f>
        <v>0</v>
      </c>
    </row>
    <row r="67" spans="1:20" x14ac:dyDescent="0.25">
      <c r="A67" s="2">
        <v>20053</v>
      </c>
      <c r="B67" s="3" t="str" cm="1">
        <f t="array" ref="B67">INDEX(T_Info[],MATCH(T_MLD[[#This Row],[Codigo]],T_Info[Codigo],0),COLUMN(T_Info[Proyecto]))</f>
        <v>Aldunate</v>
      </c>
      <c r="C67" s="2" t="str" cm="1">
        <f t="array" ref="C67">INDEX(T_Info[],MATCH(T_MLD[[#This Row],[Codigo]],T_Info[Codigo],0),COLUMN(T_Info[T.S]))</f>
        <v>B</v>
      </c>
      <c r="D67" s="2" cm="1">
        <f t="array" ref="D67">INDEX(T_Info[],MATCH(T_MLD[[#This Row],[Codigo]],T_Info[Codigo],0),COLUMN(T_Info[Z.S]))</f>
        <v>2</v>
      </c>
      <c r="E67" s="2" cm="1">
        <f t="array" ref="E67">INDEX(T_Info[],MATCH(T_MLD[[#This Row],[Codigo]],T_Info[Codigo],0),COLUMN(T_Info[Pisos]))</f>
        <v>10</v>
      </c>
      <c r="F67" s="2" cm="1">
        <f t="array" ref="F67">INDEX(T_Info[],MATCH(T_MLD[[#This Row],[Codigo]],T_Info[Codigo],0),COLUMN(T_Info[Subt.]))</f>
        <v>3</v>
      </c>
      <c r="G67" s="26" cm="1">
        <f t="array" ref="G67">INDEX(T_Info[],MATCH(T_MLD[[#This Row],[Codigo]],T_Info[Codigo],0),COLUMN(T_Info[Superficie m2]))</f>
        <v>15742.57</v>
      </c>
      <c r="H67" s="2" t="str" cm="1">
        <f t="array" ref="H67">IF(INDEX(T_Info[],MATCH(T_MLD[[#This Row],[Codigo]],T_Info[Codigo],0),COLUMN(T_Info[Postensado]))&lt;&gt;"",INDEX(T_Info[],MATCH(T_MLD[[#This Row],[Codigo]],T_Info[Codigo],0),COLUMN(T_Info[Postensado])),"")</f>
        <v/>
      </c>
      <c r="I67" s="2" t="str" cm="1">
        <f t="array" ref="I67">IF(INDEX(T_Info[],MATCH(T_MLD[[#This Row],[Codigo]],T_Info[Codigo],0),COLUMN(T_Info[Losa Fundación]))&lt;&gt;"",INDEX(T_Info[],MATCH(T_MLD[[#This Row],[Codigo]],T_Info[Codigo],0),COLUMN(T_Info[Losa Fundación])),"")</f>
        <v/>
      </c>
      <c r="J67" s="58"/>
      <c r="K67" s="58"/>
      <c r="L67" s="58"/>
      <c r="M67" s="58"/>
      <c r="N67" s="58"/>
      <c r="O67" s="58"/>
      <c r="P67" s="58"/>
      <c r="Q67" s="58"/>
      <c r="R67" s="58"/>
      <c r="S67" s="58"/>
      <c r="T67" s="58">
        <f>SUM(T_MLD[[#This Row],[Fund Lat m2]:[Escalera m2]])</f>
        <v>0</v>
      </c>
    </row>
    <row r="68" spans="1:20" x14ac:dyDescent="0.25">
      <c r="A68" s="2">
        <v>20064</v>
      </c>
      <c r="B68" s="3" t="str" cm="1">
        <f t="array" ref="B68">INDEX(T_Info[],MATCH(T_MLD[[#This Row],[Codigo]],T_Info[Codigo],0),COLUMN(T_Info[Proyecto]))</f>
        <v>Vasco da Gama</v>
      </c>
      <c r="C68" s="2" t="str" cm="1">
        <f t="array" ref="C68">INDEX(T_Info[],MATCH(T_MLD[[#This Row],[Codigo]],T_Info[Codigo],0),COLUMN(T_Info[T.S]))</f>
        <v>B</v>
      </c>
      <c r="D68" s="2" cm="1">
        <f t="array" ref="D68">INDEX(T_Info[],MATCH(T_MLD[[#This Row],[Codigo]],T_Info[Codigo],0),COLUMN(T_Info[Z.S]))</f>
        <v>2</v>
      </c>
      <c r="E68" s="2" cm="1">
        <f t="array" ref="E68">INDEX(T_Info[],MATCH(T_MLD[[#This Row],[Codigo]],T_Info[Codigo],0),COLUMN(T_Info[Pisos]))</f>
        <v>16</v>
      </c>
      <c r="F68" s="2" cm="1">
        <f t="array" ref="F68">INDEX(T_Info[],MATCH(T_MLD[[#This Row],[Codigo]],T_Info[Codigo],0),COLUMN(T_Info[Subt.]))</f>
        <v>2</v>
      </c>
      <c r="G68" s="26" cm="1">
        <f t="array" ref="G68">INDEX(T_Info[],MATCH(T_MLD[[#This Row],[Codigo]],T_Info[Codigo],0),COLUMN(T_Info[Superficie m2]))</f>
        <v>32460.95</v>
      </c>
      <c r="H68" s="2" t="str" cm="1">
        <f t="array" ref="H68">IF(INDEX(T_Info[],MATCH(T_MLD[[#This Row],[Codigo]],T_Info[Codigo],0),COLUMN(T_Info[Postensado]))&lt;&gt;"",INDEX(T_Info[],MATCH(T_MLD[[#This Row],[Codigo]],T_Info[Codigo],0),COLUMN(T_Info[Postensado])),"")</f>
        <v/>
      </c>
      <c r="I68" s="2" t="str" cm="1">
        <f t="array" ref="I68">IF(INDEX(T_Info[],MATCH(T_MLD[[#This Row],[Codigo]],T_Info[Codigo],0),COLUMN(T_Info[Losa Fundación]))&lt;&gt;"",INDEX(T_Info[],MATCH(T_MLD[[#This Row],[Codigo]],T_Info[Codigo],0),COLUMN(T_Info[Losa Fundación])),"")</f>
        <v/>
      </c>
      <c r="J68" s="58"/>
      <c r="K68" s="58"/>
      <c r="L68" s="58"/>
      <c r="M68" s="58"/>
      <c r="N68" s="58"/>
      <c r="O68" s="58"/>
      <c r="P68" s="58"/>
      <c r="Q68" s="58"/>
      <c r="R68" s="58"/>
      <c r="S68" s="58"/>
      <c r="T68" s="58">
        <f>SUM(T_MLD[[#This Row],[Fund Lat m2]:[Escalera m2]])</f>
        <v>0</v>
      </c>
    </row>
    <row r="69" spans="1:20" x14ac:dyDescent="0.25">
      <c r="A69" s="2">
        <v>20103</v>
      </c>
      <c r="B69" s="3" t="str" cm="1">
        <f t="array" ref="B69">INDEX(T_Info[],MATCH(T_MLD[[#This Row],[Codigo]],T_Info[Codigo],0),COLUMN(T_Info[Proyecto]))</f>
        <v>Millalongo</v>
      </c>
      <c r="C69" s="2" t="str" cm="1">
        <f t="array" ref="C69">INDEX(T_Info[],MATCH(T_MLD[[#This Row],[Codigo]],T_Info[Codigo],0),COLUMN(T_Info[T.S]))</f>
        <v>B</v>
      </c>
      <c r="D69" s="2" cm="1">
        <f t="array" ref="D69">INDEX(T_Info[],MATCH(T_MLD[[#This Row],[Codigo]],T_Info[Codigo],0),COLUMN(T_Info[Z.S]))</f>
        <v>2</v>
      </c>
      <c r="E69" s="2" cm="1">
        <f t="array" ref="E69">INDEX(T_Info[],MATCH(T_MLD[[#This Row],[Codigo]],T_Info[Codigo],0),COLUMN(T_Info[Pisos]))</f>
        <v>17</v>
      </c>
      <c r="F69" s="2" cm="1">
        <f t="array" ref="F69">INDEX(T_Info[],MATCH(T_MLD[[#This Row],[Codigo]],T_Info[Codigo],0),COLUMN(T_Info[Subt.]))</f>
        <v>2</v>
      </c>
      <c r="G69" s="26" cm="1">
        <f t="array" ref="G69">INDEX(T_Info[],MATCH(T_MLD[[#This Row],[Codigo]],T_Info[Codigo],0),COLUMN(T_Info[Superficie m2]))</f>
        <v>20964.990000000002</v>
      </c>
      <c r="H69" s="2" t="str" cm="1">
        <f t="array" ref="H69">IF(INDEX(T_Info[],MATCH(T_MLD[[#This Row],[Codigo]],T_Info[Codigo],0),COLUMN(T_Info[Postensado]))&lt;&gt;"",INDEX(T_Info[],MATCH(T_MLD[[#This Row],[Codigo]],T_Info[Codigo],0),COLUMN(T_Info[Postensado])),"")</f>
        <v/>
      </c>
      <c r="I69" s="2" t="str" cm="1">
        <f t="array" ref="I69">IF(INDEX(T_Info[],MATCH(T_MLD[[#This Row],[Codigo]],T_Info[Codigo],0),COLUMN(T_Info[Losa Fundación]))&lt;&gt;"",INDEX(T_Info[],MATCH(T_MLD[[#This Row],[Codigo]],T_Info[Codigo],0),COLUMN(T_Info[Losa Fundación])),"")</f>
        <v/>
      </c>
      <c r="J69" s="58"/>
      <c r="K69" s="58"/>
      <c r="L69" s="58"/>
      <c r="M69" s="58"/>
      <c r="N69" s="58"/>
      <c r="O69" s="58"/>
      <c r="P69" s="58"/>
      <c r="Q69" s="58"/>
      <c r="R69" s="58"/>
      <c r="S69" s="58"/>
      <c r="T69" s="58">
        <f>SUM(T_MLD[[#This Row],[Fund Lat m2]:[Escalera m2]])</f>
        <v>0</v>
      </c>
    </row>
    <row r="70" spans="1:20" x14ac:dyDescent="0.25">
      <c r="A70" s="2">
        <v>20123</v>
      </c>
      <c r="B70" s="3" t="str" cm="1">
        <f t="array" ref="B70">INDEX(T_Info[],MATCH(T_MLD[[#This Row],[Codigo]],T_Info[Codigo],0),COLUMN(T_Info[Proyecto]))</f>
        <v>Mon Amour</v>
      </c>
      <c r="C70" s="2" t="str" cm="1">
        <f t="array" ref="C70">INDEX(T_Info[],MATCH(T_MLD[[#This Row],[Codigo]],T_Info[Codigo],0),COLUMN(T_Info[T.S]))</f>
        <v>C</v>
      </c>
      <c r="D70" s="2" cm="1">
        <f t="array" ref="D70">INDEX(T_Info[],MATCH(T_MLD[[#This Row],[Codigo]],T_Info[Codigo],0),COLUMN(T_Info[Z.S]))</f>
        <v>2</v>
      </c>
      <c r="E70" s="2" cm="1">
        <f t="array" ref="E70">INDEX(T_Info[],MATCH(T_MLD[[#This Row],[Codigo]],T_Info[Codigo],0),COLUMN(T_Info[Pisos]))</f>
        <v>18</v>
      </c>
      <c r="F70" s="2" cm="1">
        <f t="array" ref="F70">INDEX(T_Info[],MATCH(T_MLD[[#This Row],[Codigo]],T_Info[Codigo],0),COLUMN(T_Info[Subt.]))</f>
        <v>3</v>
      </c>
      <c r="G70" s="26" cm="1">
        <f t="array" ref="G70">INDEX(T_Info[],MATCH(T_MLD[[#This Row],[Codigo]],T_Info[Codigo],0),COLUMN(T_Info[Superficie m2]))</f>
        <v>28495.62</v>
      </c>
      <c r="H70" s="2" t="str" cm="1">
        <f t="array" ref="H70">IF(INDEX(T_Info[],MATCH(T_MLD[[#This Row],[Codigo]],T_Info[Codigo],0),COLUMN(T_Info[Postensado]))&lt;&gt;"",INDEX(T_Info[],MATCH(T_MLD[[#This Row],[Codigo]],T_Info[Codigo],0),COLUMN(T_Info[Postensado])),"")</f>
        <v/>
      </c>
      <c r="I70" s="2" t="str" cm="1">
        <f t="array" ref="I70">IF(INDEX(T_Info[],MATCH(T_MLD[[#This Row],[Codigo]],T_Info[Codigo],0),COLUMN(T_Info[Losa Fundación]))&lt;&gt;"",INDEX(T_Info[],MATCH(T_MLD[[#This Row],[Codigo]],T_Info[Codigo],0),COLUMN(T_Info[Losa Fundación])),"")</f>
        <v/>
      </c>
      <c r="J70" s="58"/>
      <c r="K70" s="58"/>
      <c r="L70" s="58"/>
      <c r="M70" s="58"/>
      <c r="N70" s="58"/>
      <c r="O70" s="58"/>
      <c r="P70" s="58"/>
      <c r="Q70" s="58"/>
      <c r="R70" s="58"/>
      <c r="S70" s="58"/>
      <c r="T70" s="58">
        <f>SUM(T_MLD[[#This Row],[Fund Lat m2]:[Escalera m2]])</f>
        <v>0</v>
      </c>
    </row>
    <row r="71" spans="1:20" x14ac:dyDescent="0.25">
      <c r="A71" s="2">
        <v>21028</v>
      </c>
      <c r="B71" s="3" t="str" cm="1">
        <f t="array" ref="B71">INDEX(T_Info[],MATCH(T_MLD[[#This Row],[Codigo]],T_Info[Codigo],0),COLUMN(T_Info[Proyecto]))</f>
        <v>Conjunto Olimpia 2</v>
      </c>
      <c r="C71" s="2" t="str" cm="1">
        <f t="array" ref="C71">INDEX(T_Info[],MATCH(T_MLD[[#This Row],[Codigo]],T_Info[Codigo],0),COLUMN(T_Info[T.S]))</f>
        <v>B</v>
      </c>
      <c r="D71" s="2" cm="1">
        <f t="array" ref="D71">INDEX(T_Info[],MATCH(T_MLD[[#This Row],[Codigo]],T_Info[Codigo],0),COLUMN(T_Info[Z.S]))</f>
        <v>2</v>
      </c>
      <c r="E71" s="2" cm="1">
        <f t="array" ref="E71">INDEX(T_Info[],MATCH(T_MLD[[#This Row],[Codigo]],T_Info[Codigo],0),COLUMN(T_Info[Pisos]))</f>
        <v>6</v>
      </c>
      <c r="F71" s="2" cm="1">
        <f t="array" ref="F71">INDEX(T_Info[],MATCH(T_MLD[[#This Row],[Codigo]],T_Info[Codigo],0),COLUMN(T_Info[Subt.]))</f>
        <v>1</v>
      </c>
      <c r="G71" s="26" cm="1">
        <f t="array" ref="G71">INDEX(T_Info[],MATCH(T_MLD[[#This Row],[Codigo]],T_Info[Codigo],0),COLUMN(T_Info[Superficie m2]))</f>
        <v>4733.3999999999996</v>
      </c>
      <c r="H71" s="2" t="str" cm="1">
        <f t="array" ref="H71">IF(INDEX(T_Info[],MATCH(T_MLD[[#This Row],[Codigo]],T_Info[Codigo],0),COLUMN(T_Info[Postensado]))&lt;&gt;"",INDEX(T_Info[],MATCH(T_MLD[[#This Row],[Codigo]],T_Info[Codigo],0),COLUMN(T_Info[Postensado])),"")</f>
        <v/>
      </c>
      <c r="I71" s="2" t="str" cm="1">
        <f t="array" ref="I71">IF(INDEX(T_Info[],MATCH(T_MLD[[#This Row],[Codigo]],T_Info[Codigo],0),COLUMN(T_Info[Losa Fundación]))&lt;&gt;"",INDEX(T_Info[],MATCH(T_MLD[[#This Row],[Codigo]],T_Info[Codigo],0),COLUMN(T_Info[Losa Fundación])),"")</f>
        <v>Si</v>
      </c>
      <c r="J71" s="58"/>
      <c r="K71" s="58"/>
      <c r="L71" s="58"/>
      <c r="M71" s="58"/>
      <c r="N71" s="58"/>
      <c r="O71" s="58"/>
      <c r="P71" s="58"/>
      <c r="Q71" s="58"/>
      <c r="R71" s="58"/>
      <c r="S71" s="58"/>
      <c r="T71" s="58">
        <f>SUM(T_MLD[[#This Row],[Fund Lat m2]:[Escalera m2]])</f>
        <v>0</v>
      </c>
    </row>
    <row r="72" spans="1:20" x14ac:dyDescent="0.25">
      <c r="A72" s="2">
        <v>21029</v>
      </c>
      <c r="B72" s="3" t="str" cm="1">
        <f t="array" ref="B72">INDEX(T_Info[],MATCH(T_MLD[[#This Row],[Codigo]],T_Info[Codigo],0),COLUMN(T_Info[Proyecto]))</f>
        <v>Vicente Valdés 1 - Torre A</v>
      </c>
      <c r="C72" s="2" t="str" cm="1">
        <f t="array" ref="C72">INDEX(T_Info[],MATCH(T_MLD[[#This Row],[Codigo]],T_Info[Codigo],0),COLUMN(T_Info[T.S]))</f>
        <v>B</v>
      </c>
      <c r="D72" s="2" cm="1">
        <f t="array" ref="D72">INDEX(T_Info[],MATCH(T_MLD[[#This Row],[Codigo]],T_Info[Codigo],0),COLUMN(T_Info[Z.S]))</f>
        <v>2</v>
      </c>
      <c r="E72" s="2" cm="1">
        <f t="array" ref="E72">INDEX(T_Info[],MATCH(T_MLD[[#This Row],[Codigo]],T_Info[Codigo],0),COLUMN(T_Info[Pisos]))</f>
        <v>8</v>
      </c>
      <c r="F72" s="2" cm="1">
        <f t="array" ref="F72">INDEX(T_Info[],MATCH(T_MLD[[#This Row],[Codigo]],T_Info[Codigo],0),COLUMN(T_Info[Subt.]))</f>
        <v>2</v>
      </c>
      <c r="G72" s="26" cm="1">
        <f t="array" ref="G72">INDEX(T_Info[],MATCH(T_MLD[[#This Row],[Codigo]],T_Info[Codigo],0),COLUMN(T_Info[Superficie m2]))</f>
        <v>12671.32</v>
      </c>
      <c r="H72" s="2" t="str" cm="1">
        <f t="array" ref="H72">IF(INDEX(T_Info[],MATCH(T_MLD[[#This Row],[Codigo]],T_Info[Codigo],0),COLUMN(T_Info[Postensado]))&lt;&gt;"",INDEX(T_Info[],MATCH(T_MLD[[#This Row],[Codigo]],T_Info[Codigo],0),COLUMN(T_Info[Postensado])),"")</f>
        <v/>
      </c>
      <c r="I72" s="2" t="str" cm="1">
        <f t="array" ref="I72">IF(INDEX(T_Info[],MATCH(T_MLD[[#This Row],[Codigo]],T_Info[Codigo],0),COLUMN(T_Info[Losa Fundación]))&lt;&gt;"",INDEX(T_Info[],MATCH(T_MLD[[#This Row],[Codigo]],T_Info[Codigo],0),COLUMN(T_Info[Losa Fundación])),"")</f>
        <v/>
      </c>
      <c r="J72" s="58"/>
      <c r="K72" s="58"/>
      <c r="L72" s="58"/>
      <c r="M72" s="58"/>
      <c r="N72" s="58"/>
      <c r="O72" s="58"/>
      <c r="P72" s="58"/>
      <c r="Q72" s="58"/>
      <c r="R72" s="58"/>
      <c r="S72" s="58"/>
      <c r="T72" s="58">
        <f>SUM(T_MLD[[#This Row],[Fund Lat m2]:[Escalera m2]])</f>
        <v>0</v>
      </c>
    </row>
    <row r="73" spans="1:20" x14ac:dyDescent="0.25">
      <c r="A73" s="2">
        <v>21030</v>
      </c>
      <c r="B73" s="3" t="str" cm="1">
        <f t="array" ref="B73">INDEX(T_Info[],MATCH(T_MLD[[#This Row],[Codigo]],T_Info[Codigo],0),COLUMN(T_Info[Proyecto]))</f>
        <v>Vicente Valdés 1 - Torre B</v>
      </c>
      <c r="C73" s="2" t="str" cm="1">
        <f t="array" ref="C73">INDEX(T_Info[],MATCH(T_MLD[[#This Row],[Codigo]],T_Info[Codigo],0),COLUMN(T_Info[T.S]))</f>
        <v>B</v>
      </c>
      <c r="D73" s="2" cm="1">
        <f t="array" ref="D73">INDEX(T_Info[],MATCH(T_MLD[[#This Row],[Codigo]],T_Info[Codigo],0),COLUMN(T_Info[Z.S]))</f>
        <v>2</v>
      </c>
      <c r="E73" s="2" cm="1">
        <f t="array" ref="E73">INDEX(T_Info[],MATCH(T_MLD[[#This Row],[Codigo]],T_Info[Codigo],0),COLUMN(T_Info[Pisos]))</f>
        <v>8</v>
      </c>
      <c r="F73" s="2" cm="1">
        <f t="array" ref="F73">INDEX(T_Info[],MATCH(T_MLD[[#This Row],[Codigo]],T_Info[Codigo],0),COLUMN(T_Info[Subt.]))</f>
        <v>1</v>
      </c>
      <c r="G73" s="26" cm="1">
        <f t="array" ref="G73">INDEX(T_Info[],MATCH(T_MLD[[#This Row],[Codigo]],T_Info[Codigo],0),COLUMN(T_Info[Superficie m2]))</f>
        <v>8627.34</v>
      </c>
      <c r="H73" s="2" t="str" cm="1">
        <f t="array" ref="H73">IF(INDEX(T_Info[],MATCH(T_MLD[[#This Row],[Codigo]],T_Info[Codigo],0),COLUMN(T_Info[Postensado]))&lt;&gt;"",INDEX(T_Info[],MATCH(T_MLD[[#This Row],[Codigo]],T_Info[Codigo],0),COLUMN(T_Info[Postensado])),"")</f>
        <v/>
      </c>
      <c r="I73" s="2" t="str" cm="1">
        <f t="array" ref="I73">IF(INDEX(T_Info[],MATCH(T_MLD[[#This Row],[Codigo]],T_Info[Codigo],0),COLUMN(T_Info[Losa Fundación]))&lt;&gt;"",INDEX(T_Info[],MATCH(T_MLD[[#This Row],[Codigo]],T_Info[Codigo],0),COLUMN(T_Info[Losa Fundación])),"")</f>
        <v/>
      </c>
      <c r="J73" s="58"/>
      <c r="K73" s="58"/>
      <c r="L73" s="58"/>
      <c r="M73" s="58"/>
      <c r="N73" s="58"/>
      <c r="O73" s="58"/>
      <c r="P73" s="58"/>
      <c r="Q73" s="58"/>
      <c r="R73" s="58"/>
      <c r="S73" s="58"/>
      <c r="T73" s="58">
        <f>SUM(T_MLD[[#This Row],[Fund Lat m2]:[Escalera m2]])</f>
        <v>0</v>
      </c>
    </row>
    <row r="74" spans="1:20" x14ac:dyDescent="0.25">
      <c r="A74" s="2">
        <v>20067</v>
      </c>
      <c r="B74" s="3" t="str" cm="1">
        <f t="array" ref="B74">INDEX(T_Info[],MATCH(T_MLD[[#This Row],[Codigo]],T_Info[Codigo],0),COLUMN(T_Info[Proyecto]))</f>
        <v>Lyon - Almagro</v>
      </c>
      <c r="C74" s="2" t="str" cm="1">
        <f t="array" ref="C74">INDEX(T_Info[],MATCH(T_MLD[[#This Row],[Codigo]],T_Info[Codigo],0),COLUMN(T_Info[T.S]))</f>
        <v>B</v>
      </c>
      <c r="D74" s="2" cm="1">
        <f t="array" ref="D74">INDEX(T_Info[],MATCH(T_MLD[[#This Row],[Codigo]],T_Info[Codigo],0),COLUMN(T_Info[Z.S]))</f>
        <v>2</v>
      </c>
      <c r="E74" s="2" cm="1">
        <f t="array" ref="E74">INDEX(T_Info[],MATCH(T_MLD[[#This Row],[Codigo]],T_Info[Codigo],0),COLUMN(T_Info[Pisos]))</f>
        <v>13</v>
      </c>
      <c r="F74" s="2" cm="1">
        <f t="array" ref="F74">INDEX(T_Info[],MATCH(T_MLD[[#This Row],[Codigo]],T_Info[Codigo],0),COLUMN(T_Info[Subt.]))</f>
        <v>5</v>
      </c>
      <c r="G74" s="26" cm="1">
        <f t="array" ref="G74">INDEX(T_Info[],MATCH(T_MLD[[#This Row],[Codigo]],T_Info[Codigo],0),COLUMN(T_Info[Superficie m2]))</f>
        <v>14804.98</v>
      </c>
      <c r="H74" s="2" t="str" cm="1">
        <f t="array" ref="H74">IF(INDEX(T_Info[],MATCH(T_MLD[[#This Row],[Codigo]],T_Info[Codigo],0),COLUMN(T_Info[Postensado]))&lt;&gt;"",INDEX(T_Info[],MATCH(T_MLD[[#This Row],[Codigo]],T_Info[Codigo],0),COLUMN(T_Info[Postensado])),"")</f>
        <v/>
      </c>
      <c r="I74" s="2" t="str" cm="1">
        <f t="array" ref="I74">IF(INDEX(T_Info[],MATCH(T_MLD[[#This Row],[Codigo]],T_Info[Codigo],0),COLUMN(T_Info[Losa Fundación]))&lt;&gt;"",INDEX(T_Info[],MATCH(T_MLD[[#This Row],[Codigo]],T_Info[Codigo],0),COLUMN(T_Info[Losa Fundación])),"")</f>
        <v/>
      </c>
      <c r="J74" s="58"/>
      <c r="K74" s="58"/>
      <c r="L74" s="58"/>
      <c r="M74" s="58"/>
      <c r="N74" s="58"/>
      <c r="O74" s="58"/>
      <c r="P74" s="58"/>
      <c r="Q74" s="58"/>
      <c r="R74" s="58"/>
      <c r="S74" s="58"/>
      <c r="T74" s="58">
        <f>SUM(T_MLD[[#This Row],[Fund Lat m2]:[Escalera m2]])</f>
        <v>0</v>
      </c>
    </row>
    <row r="75" spans="1:20" x14ac:dyDescent="0.25">
      <c r="A75" s="2">
        <v>21042</v>
      </c>
      <c r="B75" s="3" t="str" cm="1">
        <f t="array" ref="B75">INDEX(T_Info[],MATCH(T_MLD[[#This Row],[Codigo]],T_Info[Codigo],0),COLUMN(T_Info[Proyecto]))</f>
        <v>Carrera 4</v>
      </c>
      <c r="C75" s="2" t="str" cm="1">
        <f t="array" ref="C75">INDEX(T_Info[],MATCH(T_MLD[[#This Row],[Codigo]],T_Info[Codigo],0),COLUMN(T_Info[T.S]))</f>
        <v>B</v>
      </c>
      <c r="D75" s="2" cm="1">
        <f t="array" ref="D75">INDEX(T_Info[],MATCH(T_MLD[[#This Row],[Codigo]],T_Info[Codigo],0),COLUMN(T_Info[Z.S]))</f>
        <v>2</v>
      </c>
      <c r="E75" s="2" cm="1">
        <f t="array" ref="E75">INDEX(T_Info[],MATCH(T_MLD[[#This Row],[Codigo]],T_Info[Codigo],0),COLUMN(T_Info[Pisos]))</f>
        <v>10</v>
      </c>
      <c r="F75" s="2" cm="1">
        <f t="array" ref="F75">INDEX(T_Info[],MATCH(T_MLD[[#This Row],[Codigo]],T_Info[Codigo],0),COLUMN(T_Info[Subt.]))</f>
        <v>3</v>
      </c>
      <c r="G75" s="26" cm="1">
        <f t="array" ref="G75">INDEX(T_Info[],MATCH(T_MLD[[#This Row],[Codigo]],T_Info[Codigo],0),COLUMN(T_Info[Superficie m2]))</f>
        <v>19804.080000000002</v>
      </c>
      <c r="H75" s="2" t="str" cm="1">
        <f t="array" ref="H75">IF(INDEX(T_Info[],MATCH(T_MLD[[#This Row],[Codigo]],T_Info[Codigo],0),COLUMN(T_Info[Postensado]))&lt;&gt;"",INDEX(T_Info[],MATCH(T_MLD[[#This Row],[Codigo]],T_Info[Codigo],0),COLUMN(T_Info[Postensado])),"")</f>
        <v/>
      </c>
      <c r="I75" s="2" t="str" cm="1">
        <f t="array" ref="I75">IF(INDEX(T_Info[],MATCH(T_MLD[[#This Row],[Codigo]],T_Info[Codigo],0),COLUMN(T_Info[Losa Fundación]))&lt;&gt;"",INDEX(T_Info[],MATCH(T_MLD[[#This Row],[Codigo]],T_Info[Codigo],0),COLUMN(T_Info[Losa Fundación])),"")</f>
        <v/>
      </c>
      <c r="J75" s="58"/>
      <c r="K75" s="58"/>
      <c r="L75" s="58"/>
      <c r="M75" s="58"/>
      <c r="N75" s="58"/>
      <c r="O75" s="58"/>
      <c r="P75" s="58"/>
      <c r="Q75" s="58"/>
      <c r="R75" s="58"/>
      <c r="S75" s="58"/>
      <c r="T75" s="58">
        <f>SUM(T_MLD[[#This Row],[Fund Lat m2]:[Escalera m2]])</f>
        <v>0</v>
      </c>
    </row>
    <row r="76" spans="1:20" x14ac:dyDescent="0.25">
      <c r="A76" s="81">
        <v>21001</v>
      </c>
      <c r="B76" s="82" t="str" cm="1">
        <f t="array" ref="B76">INDEX(T_Info[],MATCH(T_MLD[[#This Row],[Codigo]],T_Info[Codigo],0),COLUMN(T_Info[Proyecto]))</f>
        <v xml:space="preserve">Hernando de Aguirre </v>
      </c>
      <c r="C76" s="81" t="str" cm="1">
        <f t="array" ref="C76">INDEX(T_Info[],MATCH(T_MLD[[#This Row],[Codigo]],T_Info[Codigo],0),COLUMN(T_Info[T.S]))</f>
        <v>B</v>
      </c>
      <c r="D76" s="81" cm="1">
        <f t="array" ref="D76">INDEX(T_Info[],MATCH(T_MLD[[#This Row],[Codigo]],T_Info[Codigo],0),COLUMN(T_Info[Z.S]))</f>
        <v>2</v>
      </c>
      <c r="E76" s="81" cm="1">
        <f t="array" ref="E76">INDEX(T_Info[],MATCH(T_MLD[[#This Row],[Codigo]],T_Info[Codigo],0),COLUMN(T_Info[Pisos]))</f>
        <v>14</v>
      </c>
      <c r="F76" s="81" cm="1">
        <f t="array" ref="F76">INDEX(T_Info[],MATCH(T_MLD[[#This Row],[Codigo]],T_Info[Codigo],0),COLUMN(T_Info[Subt.]))</f>
        <v>4</v>
      </c>
      <c r="G76" s="83" cm="1">
        <f t="array" ref="G76">INDEX(T_Info[],MATCH(T_MLD[[#This Row],[Codigo]],T_Info[Codigo],0),COLUMN(T_Info[Superficie m2]))</f>
        <v>11384.460000000001</v>
      </c>
      <c r="H76" s="81" t="str" cm="1">
        <f t="array" ref="H76">IF(INDEX(T_Info[],MATCH(T_MLD[[#This Row],[Codigo]],T_Info[Codigo],0),COLUMN(T_Info[Postensado]))&lt;&gt;"",INDEX(T_Info[],MATCH(T_MLD[[#This Row],[Codigo]],T_Info[Codigo],0),COLUMN(T_Info[Postensado])),"")</f>
        <v>No</v>
      </c>
      <c r="I76" s="81" t="str" cm="1">
        <f t="array" ref="I76">IF(INDEX(T_Info[],MATCH(T_MLD[[#This Row],[Codigo]],T_Info[Codigo],0),COLUMN(T_Info[Losa Fundación]))&lt;&gt;"",INDEX(T_Info[],MATCH(T_MLD[[#This Row],[Codigo]],T_Info[Codigo],0),COLUMN(T_Info[Losa Fundación])),"")</f>
        <v>No</v>
      </c>
      <c r="J76" s="84">
        <v>415.56000000000029</v>
      </c>
      <c r="K76" s="84">
        <v>8</v>
      </c>
      <c r="L76" s="84">
        <v>10645.589999999896</v>
      </c>
      <c r="M76" s="84">
        <v>1496.2500000000098</v>
      </c>
      <c r="N76" s="84">
        <v>129.08999999999986</v>
      </c>
      <c r="O76" s="84">
        <v>108.59999999999995</v>
      </c>
      <c r="P76" s="84">
        <v>17.200000000000003</v>
      </c>
      <c r="Q76" s="84">
        <v>10059.1</v>
      </c>
      <c r="R76" s="84">
        <v>661.65999999999644</v>
      </c>
      <c r="S76" s="84">
        <v>0</v>
      </c>
      <c r="T76" s="84">
        <f>SUM(T_MLD[[#This Row],[Fund Lat m2]:[Escalera m2]])</f>
        <v>23541.049999999901</v>
      </c>
    </row>
    <row r="77" spans="1:20" x14ac:dyDescent="0.25">
      <c r="A77" s="81">
        <v>21046</v>
      </c>
      <c r="B77" s="82" t="str" cm="1">
        <f t="array" ref="B77">INDEX(T_Info[],MATCH(T_MLD[[#This Row],[Codigo]],T_Info[Codigo],0),COLUMN(T_Info[Proyecto]))</f>
        <v>Vicente Valdés 2 - Torre A</v>
      </c>
      <c r="C77" s="81" t="str" cm="1">
        <f t="array" ref="C77">INDEX(T_Info[],MATCH(T_MLD[[#This Row],[Codigo]],T_Info[Codigo],0),COLUMN(T_Info[T.S]))</f>
        <v>B</v>
      </c>
      <c r="D77" s="81" cm="1">
        <f t="array" ref="D77">INDEX(T_Info[],MATCH(T_MLD[[#This Row],[Codigo]],T_Info[Codigo],0),COLUMN(T_Info[Z.S]))</f>
        <v>2</v>
      </c>
      <c r="E77" s="81" cm="1">
        <f t="array" ref="E77">INDEX(T_Info[],MATCH(T_MLD[[#This Row],[Codigo]],T_Info[Codigo],0),COLUMN(T_Info[Pisos]))</f>
        <v>8</v>
      </c>
      <c r="F77" s="81" cm="1">
        <f t="array" ref="F77">INDEX(T_Info[],MATCH(T_MLD[[#This Row],[Codigo]],T_Info[Codigo],0),COLUMN(T_Info[Subt.]))</f>
        <v>2</v>
      </c>
      <c r="G77" s="83" cm="1">
        <f t="array" ref="G77">INDEX(T_Info[],MATCH(T_MLD[[#This Row],[Codigo]],T_Info[Codigo],0),COLUMN(T_Info[Superficie m2]))</f>
        <v>9776.25</v>
      </c>
      <c r="H77" s="81" t="str" cm="1">
        <f t="array" ref="H77">IF(INDEX(T_Info[],MATCH(T_MLD[[#This Row],[Codigo]],T_Info[Codigo],0),COLUMN(T_Info[Postensado]))&lt;&gt;"",INDEX(T_Info[],MATCH(T_MLD[[#This Row],[Codigo]],T_Info[Codigo],0),COLUMN(T_Info[Postensado])),"")</f>
        <v>No</v>
      </c>
      <c r="I77" s="81" t="str" cm="1">
        <f t="array" ref="I77">IF(INDEX(T_Info[],MATCH(T_MLD[[#This Row],[Codigo]],T_Info[Codigo],0),COLUMN(T_Info[Losa Fundación]))&lt;&gt;"",INDEX(T_Info[],MATCH(T_MLD[[#This Row],[Codigo]],T_Info[Codigo],0),COLUMN(T_Info[Losa Fundación])),"")</f>
        <v>No</v>
      </c>
      <c r="J77" s="84">
        <v>478.09000000000026</v>
      </c>
      <c r="K77" s="84">
        <v>0</v>
      </c>
      <c r="L77" s="84">
        <v>15243.469999999523</v>
      </c>
      <c r="M77" s="84">
        <v>1777.7600000000116</v>
      </c>
      <c r="N77" s="84">
        <v>123.26000000000008</v>
      </c>
      <c r="O77" s="84">
        <v>0</v>
      </c>
      <c r="P77" s="84">
        <v>0</v>
      </c>
      <c r="Q77" s="84">
        <v>8913.5900000000147</v>
      </c>
      <c r="R77" s="84">
        <v>507.83999999999907</v>
      </c>
      <c r="S77" s="84">
        <v>0</v>
      </c>
      <c r="T77" s="84">
        <f>SUM(T_MLD[[#This Row],[Fund Lat m2]:[Escalera m2]])</f>
        <v>27044.009999999547</v>
      </c>
    </row>
    <row r="78" spans="1:20" x14ac:dyDescent="0.25">
      <c r="A78" s="81">
        <v>21047</v>
      </c>
      <c r="B78" s="82" t="str" cm="1">
        <f t="array" ref="B78">INDEX(T_Info[],MATCH(T_MLD[[#This Row],[Codigo]],T_Info[Codigo],0),COLUMN(T_Info[Proyecto]))</f>
        <v>Vicente Valdés 2 - Torre B</v>
      </c>
      <c r="C78" s="81" t="str" cm="1">
        <f t="array" ref="C78">INDEX(T_Info[],MATCH(T_MLD[[#This Row],[Codigo]],T_Info[Codigo],0),COLUMN(T_Info[T.S]))</f>
        <v>B</v>
      </c>
      <c r="D78" s="81" cm="1">
        <f t="array" ref="D78">INDEX(T_Info[],MATCH(T_MLD[[#This Row],[Codigo]],T_Info[Codigo],0),COLUMN(T_Info[Z.S]))</f>
        <v>2</v>
      </c>
      <c r="E78" s="81" cm="1">
        <f t="array" ref="E78">INDEX(T_Info[],MATCH(T_MLD[[#This Row],[Codigo]],T_Info[Codigo],0),COLUMN(T_Info[Pisos]))</f>
        <v>8</v>
      </c>
      <c r="F78" s="81" cm="1">
        <f t="array" ref="F78">INDEX(T_Info[],MATCH(T_MLD[[#This Row],[Codigo]],T_Info[Codigo],0),COLUMN(T_Info[Subt.]))</f>
        <v>2</v>
      </c>
      <c r="G78" s="83" cm="1">
        <f t="array" ref="G78">INDEX(T_Info[],MATCH(T_MLD[[#This Row],[Codigo]],T_Info[Codigo],0),COLUMN(T_Info[Superficie m2]))</f>
        <v>12714</v>
      </c>
      <c r="H78" s="81" t="str" cm="1">
        <f t="array" ref="H78">IF(INDEX(T_Info[],MATCH(T_MLD[[#This Row],[Codigo]],T_Info[Codigo],0),COLUMN(T_Info[Postensado]))&lt;&gt;"",INDEX(T_Info[],MATCH(T_MLD[[#This Row],[Codigo]],T_Info[Codigo],0),COLUMN(T_Info[Postensado])),"")</f>
        <v>No</v>
      </c>
      <c r="I78" s="81" t="str" cm="1">
        <f t="array" ref="I78">IF(INDEX(T_Info[],MATCH(T_MLD[[#This Row],[Codigo]],T_Info[Codigo],0),COLUMN(T_Info[Losa Fundación]))&lt;&gt;"",INDEX(T_Info[],MATCH(T_MLD[[#This Row],[Codigo]],T_Info[Codigo],0),COLUMN(T_Info[Losa Fundación])),"")</f>
        <v>No</v>
      </c>
      <c r="J78" s="84">
        <v>687.99000000000433</v>
      </c>
      <c r="K78" s="84">
        <v>0</v>
      </c>
      <c r="L78" s="84">
        <v>17517.139999999355</v>
      </c>
      <c r="M78" s="84">
        <v>2582.1399999999803</v>
      </c>
      <c r="N78" s="84">
        <v>208.05</v>
      </c>
      <c r="O78" s="84">
        <v>0</v>
      </c>
      <c r="P78" s="84">
        <v>0</v>
      </c>
      <c r="Q78" s="84">
        <v>11611.360000000004</v>
      </c>
      <c r="R78" s="84">
        <v>598.12999999999806</v>
      </c>
      <c r="S78" s="84">
        <v>0</v>
      </c>
      <c r="T78" s="84">
        <f>SUM(T_MLD[[#This Row],[Fund Lat m2]:[Escalera m2]])</f>
        <v>33204.809999999343</v>
      </c>
    </row>
    <row r="79" spans="1:20" x14ac:dyDescent="0.25">
      <c r="A79" s="81">
        <v>21048</v>
      </c>
      <c r="B79" s="82" t="str" cm="1">
        <f t="array" ref="B79">INDEX(T_Info[],MATCH(T_MLD[[#This Row],[Codigo]],T_Info[Codigo],0),COLUMN(T_Info[Proyecto]))</f>
        <v>Vicente Valdés 2 - Torre C</v>
      </c>
      <c r="C79" s="81" t="str" cm="1">
        <f t="array" ref="C79">INDEX(T_Info[],MATCH(T_MLD[[#This Row],[Codigo]],T_Info[Codigo],0),COLUMN(T_Info[T.S]))</f>
        <v>B</v>
      </c>
      <c r="D79" s="81" cm="1">
        <f t="array" ref="D79">INDEX(T_Info[],MATCH(T_MLD[[#This Row],[Codigo]],T_Info[Codigo],0),COLUMN(T_Info[Z.S]))</f>
        <v>2</v>
      </c>
      <c r="E79" s="81" cm="1">
        <f t="array" ref="E79">INDEX(T_Info[],MATCH(T_MLD[[#This Row],[Codigo]],T_Info[Codigo],0),COLUMN(T_Info[Pisos]))</f>
        <v>8</v>
      </c>
      <c r="F79" s="81" cm="1">
        <f t="array" ref="F79">INDEX(T_Info[],MATCH(T_MLD[[#This Row],[Codigo]],T_Info[Codigo],0),COLUMN(T_Info[Subt.]))</f>
        <v>2</v>
      </c>
      <c r="G79" s="83" cm="1">
        <f t="array" ref="G79">INDEX(T_Info[],MATCH(T_MLD[[#This Row],[Codigo]],T_Info[Codigo],0),COLUMN(T_Info[Superficie m2]))</f>
        <v>13311.47</v>
      </c>
      <c r="H79" s="81" t="str" cm="1">
        <f t="array" ref="H79">IF(INDEX(T_Info[],MATCH(T_MLD[[#This Row],[Codigo]],T_Info[Codigo],0),COLUMN(T_Info[Postensado]))&lt;&gt;"",INDEX(T_Info[],MATCH(T_MLD[[#This Row],[Codigo]],T_Info[Codigo],0),COLUMN(T_Info[Postensado])),"")</f>
        <v>No</v>
      </c>
      <c r="I79" s="81" t="str" cm="1">
        <f t="array" ref="I79">IF(INDEX(T_Info[],MATCH(T_MLD[[#This Row],[Codigo]],T_Info[Codigo],0),COLUMN(T_Info[Losa Fundación]))&lt;&gt;"",INDEX(T_Info[],MATCH(T_MLD[[#This Row],[Codigo]],T_Info[Codigo],0),COLUMN(T_Info[Losa Fundación])),"")</f>
        <v>No</v>
      </c>
      <c r="J79" s="84">
        <v>788.30000000000939</v>
      </c>
      <c r="K79" s="84">
        <v>0</v>
      </c>
      <c r="L79" s="84">
        <v>17409.309999999339</v>
      </c>
      <c r="M79" s="84">
        <v>3090.5999999999549</v>
      </c>
      <c r="N79" s="84">
        <v>260.15000000000015</v>
      </c>
      <c r="O79" s="84">
        <v>0</v>
      </c>
      <c r="P79" s="84">
        <v>0</v>
      </c>
      <c r="Q79" s="84">
        <v>12081.359000000006</v>
      </c>
      <c r="R79" s="84">
        <v>570.93999999999892</v>
      </c>
      <c r="S79" s="84">
        <v>0</v>
      </c>
      <c r="T79" s="84">
        <f>SUM(T_MLD[[#This Row],[Fund Lat m2]:[Escalera m2]])</f>
        <v>34200.658999999316</v>
      </c>
    </row>
    <row r="80" spans="1:20" x14ac:dyDescent="0.25">
      <c r="A80" s="81">
        <v>21049</v>
      </c>
      <c r="B80" s="82" t="str" cm="1">
        <f t="array" ref="B80">INDEX(T_Info[],MATCH(T_MLD[[#This Row],[Codigo]],T_Info[Codigo],0),COLUMN(T_Info[Proyecto]))</f>
        <v>Vicente Valdés 2 - Torre D</v>
      </c>
      <c r="C80" s="81" t="str" cm="1">
        <f t="array" ref="C80">INDEX(T_Info[],MATCH(T_MLD[[#This Row],[Codigo]],T_Info[Codigo],0),COLUMN(T_Info[T.S]))</f>
        <v>B</v>
      </c>
      <c r="D80" s="81" cm="1">
        <f t="array" ref="D80">INDEX(T_Info[],MATCH(T_MLD[[#This Row],[Codigo]],T_Info[Codigo],0),COLUMN(T_Info[Z.S]))</f>
        <v>2</v>
      </c>
      <c r="E80" s="81" cm="1">
        <f t="array" ref="E80">INDEX(T_Info[],MATCH(T_MLD[[#This Row],[Codigo]],T_Info[Codigo],0),COLUMN(T_Info[Pisos]))</f>
        <v>8</v>
      </c>
      <c r="F80" s="81" cm="1">
        <f t="array" ref="F80">INDEX(T_Info[],MATCH(T_MLD[[#This Row],[Codigo]],T_Info[Codigo],0),COLUMN(T_Info[Subt.]))</f>
        <v>2</v>
      </c>
      <c r="G80" s="83" cm="1">
        <f t="array" ref="G80">INDEX(T_Info[],MATCH(T_MLD[[#This Row],[Codigo]],T_Info[Codigo],0),COLUMN(T_Info[Superficie m2]))</f>
        <v>9858.1</v>
      </c>
      <c r="H80" s="81" t="str" cm="1">
        <f t="array" ref="H80">IF(INDEX(T_Info[],MATCH(T_MLD[[#This Row],[Codigo]],T_Info[Codigo],0),COLUMN(T_Info[Postensado]))&lt;&gt;"",INDEX(T_Info[],MATCH(T_MLD[[#This Row],[Codigo]],T_Info[Codigo],0),COLUMN(T_Info[Postensado])),"")</f>
        <v>No</v>
      </c>
      <c r="I80" s="81" t="str" cm="1">
        <f t="array" ref="I80">IF(INDEX(T_Info[],MATCH(T_MLD[[#This Row],[Codigo]],T_Info[Codigo],0),COLUMN(T_Info[Losa Fundación]))&lt;&gt;"",INDEX(T_Info[],MATCH(T_MLD[[#This Row],[Codigo]],T_Info[Codigo],0),COLUMN(T_Info[Losa Fundación])),"")</f>
        <v>No</v>
      </c>
      <c r="J80" s="84">
        <v>531.89000000000033</v>
      </c>
      <c r="K80" s="84">
        <v>0</v>
      </c>
      <c r="L80" s="84">
        <v>14949.309999999619</v>
      </c>
      <c r="M80" s="84">
        <v>2003.100000000006</v>
      </c>
      <c r="N80" s="84">
        <v>110.61000000000003</v>
      </c>
      <c r="O80" s="84">
        <v>0</v>
      </c>
      <c r="P80" s="84">
        <v>0</v>
      </c>
      <c r="Q80" s="84">
        <v>8879.1300000000065</v>
      </c>
      <c r="R80" s="84">
        <v>493.25999999999902</v>
      </c>
      <c r="S80" s="84">
        <v>0</v>
      </c>
      <c r="T80" s="84">
        <f>SUM(T_MLD[[#This Row],[Fund Lat m2]:[Escalera m2]])</f>
        <v>26967.299999999628</v>
      </c>
    </row>
    <row r="81" spans="1:20" x14ac:dyDescent="0.25">
      <c r="A81" s="81">
        <v>20119</v>
      </c>
      <c r="B81" s="82" t="str" cm="1">
        <f t="array" ref="B81">INDEX(T_Info[],MATCH(T_MLD[[#This Row],[Codigo]],T_Info[Codigo],0),COLUMN(T_Info[Proyecto]))</f>
        <v>Presidente Prieto</v>
      </c>
      <c r="C81" s="81" t="str" cm="1">
        <f t="array" ref="C81">INDEX(T_Info[],MATCH(T_MLD[[#This Row],[Codigo]],T_Info[Codigo],0),COLUMN(T_Info[T.S]))</f>
        <v>B</v>
      </c>
      <c r="D81" s="81" cm="1">
        <f t="array" ref="D81">INDEX(T_Info[],MATCH(T_MLD[[#This Row],[Codigo]],T_Info[Codigo],0),COLUMN(T_Info[Z.S]))</f>
        <v>2</v>
      </c>
      <c r="E81" s="81" cm="1">
        <f t="array" ref="E81">INDEX(T_Info[],MATCH(T_MLD[[#This Row],[Codigo]],T_Info[Codigo],0),COLUMN(T_Info[Pisos]))</f>
        <v>9</v>
      </c>
      <c r="F81" s="81" cm="1">
        <f t="array" ref="F81">INDEX(T_Info[],MATCH(T_MLD[[#This Row],[Codigo]],T_Info[Codigo],0),COLUMN(T_Info[Subt.]))</f>
        <v>0</v>
      </c>
      <c r="G81" s="83" cm="1">
        <f t="array" ref="G81">INDEX(T_Info[],MATCH(T_MLD[[#This Row],[Codigo]],T_Info[Codigo],0),COLUMN(T_Info[Superficie m2]))</f>
        <v>11110</v>
      </c>
      <c r="H81" s="81" t="str" cm="1">
        <f t="array" ref="H81">IF(INDEX(T_Info[],MATCH(T_MLD[[#This Row],[Codigo]],T_Info[Codigo],0),COLUMN(T_Info[Postensado]))&lt;&gt;"",INDEX(T_Info[],MATCH(T_MLD[[#This Row],[Codigo]],T_Info[Codigo],0),COLUMN(T_Info[Postensado])),"")</f>
        <v>No</v>
      </c>
      <c r="I81" s="81" t="str" cm="1">
        <f t="array" ref="I81">IF(INDEX(T_Info[],MATCH(T_MLD[[#This Row],[Codigo]],T_Info[Codigo],0),COLUMN(T_Info[Losa Fundación]))&lt;&gt;"",INDEX(T_Info[],MATCH(T_MLD[[#This Row],[Codigo]],T_Info[Codigo],0),COLUMN(T_Info[Losa Fundación])),"")</f>
        <v>No</v>
      </c>
      <c r="J81" s="84">
        <v>495.92</v>
      </c>
      <c r="K81" s="84">
        <v>0</v>
      </c>
      <c r="L81" s="84">
        <v>15207.93</v>
      </c>
      <c r="M81" s="84">
        <v>2785.26</v>
      </c>
      <c r="N81" s="84">
        <v>45.25</v>
      </c>
      <c r="O81" s="84">
        <v>0</v>
      </c>
      <c r="P81" s="84">
        <v>0</v>
      </c>
      <c r="Q81" s="84">
        <v>11865.33</v>
      </c>
      <c r="R81" s="84">
        <v>396.93</v>
      </c>
      <c r="S81" s="84">
        <v>0</v>
      </c>
      <c r="T81" s="84">
        <f>SUM(T_MLD[[#This Row],[Fund Lat m2]:[Escalera m2]])</f>
        <v>30796.620000000003</v>
      </c>
    </row>
    <row r="82" spans="1:20" x14ac:dyDescent="0.25">
      <c r="A82" s="2">
        <v>20125</v>
      </c>
      <c r="B82" s="3" t="str" cm="1">
        <f t="array" ref="B82">INDEX(T_Info[],MATCH(T_MLD[[#This Row],[Codigo]],T_Info[Codigo],0),COLUMN(T_Info[Proyecto]))</f>
        <v>Suárez Mujica</v>
      </c>
      <c r="C82" s="2" t="str" cm="1">
        <f t="array" ref="C82">INDEX(T_Info[],MATCH(T_MLD[[#This Row],[Codigo]],T_Info[Codigo],0),COLUMN(T_Info[T.S]))</f>
        <v>B</v>
      </c>
      <c r="D82" s="2" cm="1">
        <f t="array" ref="D82">INDEX(T_Info[],MATCH(T_MLD[[#This Row],[Codigo]],T_Info[Codigo],0),COLUMN(T_Info[Z.S]))</f>
        <v>2</v>
      </c>
      <c r="E82" s="2" cm="1">
        <f t="array" ref="E82">INDEX(T_Info[],MATCH(T_MLD[[#This Row],[Codigo]],T_Info[Codigo],0),COLUMN(T_Info[Pisos]))</f>
        <v>14</v>
      </c>
      <c r="F82" s="2" cm="1">
        <f t="array" ref="F82">INDEX(T_Info[],MATCH(T_MLD[[#This Row],[Codigo]],T_Info[Codigo],0),COLUMN(T_Info[Subt.]))</f>
        <v>2</v>
      </c>
      <c r="G82" s="26" cm="1">
        <f t="array" ref="G82">INDEX(T_Info[],MATCH(T_MLD[[#This Row],[Codigo]],T_Info[Codigo],0),COLUMN(T_Info[Superficie m2]))</f>
        <v>11586.869999999995</v>
      </c>
      <c r="H82" s="2" t="str" cm="1">
        <f t="array" ref="H82">IF(INDEX(T_Info[],MATCH(T_MLD[[#This Row],[Codigo]],T_Info[Codigo],0),COLUMN(T_Info[Postensado]))&lt;&gt;"",INDEX(T_Info[],MATCH(T_MLD[[#This Row],[Codigo]],T_Info[Codigo],0),COLUMN(T_Info[Postensado])),"")</f>
        <v>No</v>
      </c>
      <c r="I82" s="2" t="str" cm="1">
        <f t="array" ref="I82">IF(INDEX(T_Info[],MATCH(T_MLD[[#This Row],[Codigo]],T_Info[Codigo],0),COLUMN(T_Info[Losa Fundación]))&lt;&gt;"",INDEX(T_Info[],MATCH(T_MLD[[#This Row],[Codigo]],T_Info[Codigo],0),COLUMN(T_Info[Losa Fundación])),"")</f>
        <v>No</v>
      </c>
      <c r="J82" s="58">
        <v>529.10000000000014</v>
      </c>
      <c r="K82" s="58">
        <v>0</v>
      </c>
      <c r="L82" s="58">
        <v>13606.619999999952</v>
      </c>
      <c r="M82" s="58">
        <v>2132.5300000000011</v>
      </c>
      <c r="N82" s="58">
        <v>69.11999999999999</v>
      </c>
      <c r="O82" s="58">
        <v>0</v>
      </c>
      <c r="P82" s="58">
        <v>0</v>
      </c>
      <c r="Q82" s="58">
        <v>10619.800000000001</v>
      </c>
      <c r="R82" s="58">
        <v>589.64999999999588</v>
      </c>
      <c r="S82" s="58">
        <v>0</v>
      </c>
      <c r="T82" s="58">
        <v>27546.819999999949</v>
      </c>
    </row>
    <row r="83" spans="1:20" x14ac:dyDescent="0.25">
      <c r="A83" s="2">
        <v>22016</v>
      </c>
      <c r="B83" s="3" t="str" cm="1">
        <f t="array" ref="B83">INDEX(T_Info[],MATCH(T_MLD[[#This Row],[Codigo]],T_Info[Codigo],0),COLUMN(T_Info[Proyecto]))</f>
        <v>Edificio 5 La Granja</v>
      </c>
      <c r="C83" s="2" t="str" cm="1">
        <f t="array" ref="C83">INDEX(T_Info[],MATCH(T_MLD[[#This Row],[Codigo]],T_Info[Codigo],0),COLUMN(T_Info[T.S]))</f>
        <v>B</v>
      </c>
      <c r="D83" s="2" cm="1">
        <f t="array" ref="D83">INDEX(T_Info[],MATCH(T_MLD[[#This Row],[Codigo]],T_Info[Codigo],0),COLUMN(T_Info[Z.S]))</f>
        <v>2</v>
      </c>
      <c r="E83" s="2" cm="1">
        <f t="array" ref="E83">INDEX(T_Info[],MATCH(T_MLD[[#This Row],[Codigo]],T_Info[Codigo],0),COLUMN(T_Info[Pisos]))</f>
        <v>11</v>
      </c>
      <c r="F83" s="2" cm="1">
        <f t="array" ref="F83">INDEX(T_Info[],MATCH(T_MLD[[#This Row],[Codigo]],T_Info[Codigo],0),COLUMN(T_Info[Subt.]))</f>
        <v>0</v>
      </c>
      <c r="G83" s="26" cm="1">
        <f t="array" ref="G83">INDEX(T_Info[],MATCH(T_MLD[[#This Row],[Codigo]],T_Info[Codigo],0),COLUMN(T_Info[Superficie m2]))</f>
        <v>3822.1</v>
      </c>
      <c r="H83" s="2" t="str" cm="1">
        <f t="array" ref="H83">IF(INDEX(T_Info[],MATCH(T_MLD[[#This Row],[Codigo]],T_Info[Codigo],0),COLUMN(T_Info[Postensado]))&lt;&gt;"",INDEX(T_Info[],MATCH(T_MLD[[#This Row],[Codigo]],T_Info[Codigo],0),COLUMN(T_Info[Postensado])),"")</f>
        <v>No</v>
      </c>
      <c r="I83" s="2" t="str" cm="1">
        <f t="array" ref="I83">IF(INDEX(T_Info[],MATCH(T_MLD[[#This Row],[Codigo]],T_Info[Codigo],0),COLUMN(T_Info[Losa Fundación]))&lt;&gt;"",INDEX(T_Info[],MATCH(T_MLD[[#This Row],[Codigo]],T_Info[Codigo],0),COLUMN(T_Info[Losa Fundación])),"")</f>
        <v>No</v>
      </c>
      <c r="J83" s="58">
        <v>186.14999999999978</v>
      </c>
      <c r="K83" s="58">
        <v>0</v>
      </c>
      <c r="L83" s="58">
        <v>5879.7600000000057</v>
      </c>
      <c r="M83" s="58">
        <v>157.13000000000002</v>
      </c>
      <c r="N83" s="58">
        <v>5.29</v>
      </c>
      <c r="O83" s="58">
        <v>0</v>
      </c>
      <c r="P83" s="58">
        <v>0</v>
      </c>
      <c r="Q83" s="58">
        <v>3559.6999999999994</v>
      </c>
      <c r="R83" s="58">
        <v>215.07999999999984</v>
      </c>
      <c r="S83" s="58">
        <v>0</v>
      </c>
      <c r="T83" s="58">
        <v>10003.110000000004</v>
      </c>
    </row>
    <row r="84" spans="1:20" x14ac:dyDescent="0.25">
      <c r="A84" s="2">
        <v>22017</v>
      </c>
      <c r="B84" s="3" t="str" cm="1">
        <f t="array" ref="B84">INDEX(T_Info[],MATCH(T_MLD[[#This Row],[Codigo]],T_Info[Codigo],0),COLUMN(T_Info[Proyecto]))</f>
        <v>Edificio 6 La Granja</v>
      </c>
      <c r="C84" s="2" t="str" cm="1">
        <f t="array" ref="C84">INDEX(T_Info[],MATCH(T_MLD[[#This Row],[Codigo]],T_Info[Codigo],0),COLUMN(T_Info[T.S]))</f>
        <v>B</v>
      </c>
      <c r="D84" s="2" cm="1">
        <f t="array" ref="D84">INDEX(T_Info[],MATCH(T_MLD[[#This Row],[Codigo]],T_Info[Codigo],0),COLUMN(T_Info[Z.S]))</f>
        <v>2</v>
      </c>
      <c r="E84" s="2" cm="1">
        <f t="array" ref="E84">INDEX(T_Info[],MATCH(T_MLD[[#This Row],[Codigo]],T_Info[Codigo],0),COLUMN(T_Info[Pisos]))</f>
        <v>11</v>
      </c>
      <c r="F84" s="2" cm="1">
        <f t="array" ref="F84">INDEX(T_Info[],MATCH(T_MLD[[#This Row],[Codigo]],T_Info[Codigo],0),COLUMN(T_Info[Subt.]))</f>
        <v>0</v>
      </c>
      <c r="G84" s="26" cm="1">
        <f t="array" ref="G84">INDEX(T_Info[],MATCH(T_MLD[[#This Row],[Codigo]],T_Info[Codigo],0),COLUMN(T_Info[Superficie m2]))</f>
        <v>4581.3</v>
      </c>
      <c r="H84" s="2" t="str" cm="1">
        <f t="array" ref="H84">IF(INDEX(T_Info[],MATCH(T_MLD[[#This Row],[Codigo]],T_Info[Codigo],0),COLUMN(T_Info[Postensado]))&lt;&gt;"",INDEX(T_Info[],MATCH(T_MLD[[#This Row],[Codigo]],T_Info[Codigo],0),COLUMN(T_Info[Postensado])),"")</f>
        <v>No</v>
      </c>
      <c r="I84" s="2" t="str" cm="1">
        <f t="array" ref="I84">IF(INDEX(T_Info[],MATCH(T_MLD[[#This Row],[Codigo]],T_Info[Codigo],0),COLUMN(T_Info[Losa Fundación]))&lt;&gt;"",INDEX(T_Info[],MATCH(T_MLD[[#This Row],[Codigo]],T_Info[Codigo],0),COLUMN(T_Info[Losa Fundación])),"")</f>
        <v>No</v>
      </c>
      <c r="J84" s="58">
        <v>214.7299999999999</v>
      </c>
      <c r="K84" s="58">
        <v>0</v>
      </c>
      <c r="L84" s="58">
        <v>6933.8099999999085</v>
      </c>
      <c r="M84" s="58">
        <v>186.99999999999991</v>
      </c>
      <c r="N84" s="58">
        <v>6.1899999999999995</v>
      </c>
      <c r="O84" s="58">
        <v>0</v>
      </c>
      <c r="P84" s="58">
        <v>0</v>
      </c>
      <c r="Q84" s="58">
        <v>4273.300000000002</v>
      </c>
      <c r="R84" s="58">
        <v>241.70000000000107</v>
      </c>
      <c r="S84" s="58">
        <v>0</v>
      </c>
      <c r="T84" s="58">
        <v>11856.72999999991</v>
      </c>
    </row>
    <row r="85" spans="1:20" x14ac:dyDescent="0.25">
      <c r="A85" s="2">
        <v>20021</v>
      </c>
      <c r="B85" s="3" t="str" cm="1">
        <f t="array" ref="B85">INDEX(T_Info[],MATCH(T_MLD[[#This Row],[Codigo]],T_Info[Codigo],0),COLUMN(T_Info[Proyecto]))</f>
        <v>Alderete Cook - Torre B</v>
      </c>
      <c r="C85" s="2" t="str" cm="1">
        <f t="array" ref="C85">INDEX(T_Info[],MATCH(T_MLD[[#This Row],[Codigo]],T_Info[Codigo],0),COLUMN(T_Info[T.S]))</f>
        <v>B</v>
      </c>
      <c r="D85" s="2" cm="1">
        <f t="array" ref="D85">INDEX(T_Info[],MATCH(T_MLD[[#This Row],[Codigo]],T_Info[Codigo],0),COLUMN(T_Info[Z.S]))</f>
        <v>2</v>
      </c>
      <c r="E85" s="2" cm="1">
        <f t="array" ref="E85">INDEX(T_Info[],MATCH(T_MLD[[#This Row],[Codigo]],T_Info[Codigo],0),COLUMN(T_Info[Pisos]))</f>
        <v>12</v>
      </c>
      <c r="F85" s="2" cm="1">
        <f t="array" ref="F85">INDEX(T_Info[],MATCH(T_MLD[[#This Row],[Codigo]],T_Info[Codigo],0),COLUMN(T_Info[Subt.]))</f>
        <v>2</v>
      </c>
      <c r="G85" s="26" cm="1">
        <f t="array" ref="G85">INDEX(T_Info[],MATCH(T_MLD[[#This Row],[Codigo]],T_Info[Codigo],0),COLUMN(T_Info[Superficie m2]))</f>
        <v>12548.419999999998</v>
      </c>
      <c r="H85" s="2" t="str" cm="1">
        <f t="array" ref="H85">IF(INDEX(T_Info[],MATCH(T_MLD[[#This Row],[Codigo]],T_Info[Codigo],0),COLUMN(T_Info[Postensado]))&lt;&gt;"",INDEX(T_Info[],MATCH(T_MLD[[#This Row],[Codigo]],T_Info[Codigo],0),COLUMN(T_Info[Postensado])),"")</f>
        <v>No</v>
      </c>
      <c r="I85" s="2" t="str" cm="1">
        <f t="array" ref="I85">IF(INDEX(T_Info[],MATCH(T_MLD[[#This Row],[Codigo]],T_Info[Codigo],0),COLUMN(T_Info[Losa Fundación]))&lt;&gt;"",INDEX(T_Info[],MATCH(T_MLD[[#This Row],[Codigo]],T_Info[Codigo],0),COLUMN(T_Info[Losa Fundación])),"")</f>
        <v>No</v>
      </c>
      <c r="J85" s="58">
        <v>643.13999999999942</v>
      </c>
      <c r="K85" s="58">
        <v>0</v>
      </c>
      <c r="L85" s="58">
        <v>15666.480000000005</v>
      </c>
      <c r="M85" s="58">
        <v>2657.6899999999914</v>
      </c>
      <c r="N85" s="58">
        <v>65.81</v>
      </c>
      <c r="O85" s="58">
        <v>0</v>
      </c>
      <c r="P85" s="58">
        <v>0</v>
      </c>
      <c r="Q85" s="58">
        <v>11503.909999999996</v>
      </c>
      <c r="R85" s="58">
        <v>747.42999999999802</v>
      </c>
      <c r="S85" s="58">
        <v>0</v>
      </c>
      <c r="T85" s="58">
        <v>31284.459999999992</v>
      </c>
    </row>
  </sheetData>
  <phoneticPr fontId="4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24774F-9E95-4262-B5E2-92C41432CF44}">
  <dimension ref="A1:Z40"/>
  <sheetViews>
    <sheetView zoomScale="85" zoomScaleNormal="85" workbookViewId="0">
      <pane xSplit="2" ySplit="2" topLeftCell="C18" activePane="bottomRight" state="frozen"/>
      <selection pane="topRight" activeCell="C1" sqref="C1"/>
      <selection pane="bottomLeft" activeCell="A3" sqref="A3"/>
      <selection pane="bottomRight" activeCell="E37" sqref="E37"/>
    </sheetView>
  </sheetViews>
  <sheetFormatPr defaultColWidth="11.42578125" defaultRowHeight="15" x14ac:dyDescent="0.25"/>
  <cols>
    <col min="1" max="1" width="9.42578125" bestFit="1" customWidth="1"/>
    <col min="2" max="2" width="20.28515625" bestFit="1" customWidth="1"/>
    <col min="3" max="3" width="9.7109375" bestFit="1" customWidth="1"/>
    <col min="4" max="4" width="13.42578125" bestFit="1" customWidth="1"/>
    <col min="5" max="5" width="9.7109375" bestFit="1" customWidth="1"/>
    <col min="6" max="6" width="10.7109375" bestFit="1" customWidth="1"/>
    <col min="7" max="7" width="10.28515625" bestFit="1" customWidth="1"/>
    <col min="8" max="8" width="13.85546875" bestFit="1" customWidth="1"/>
    <col min="9" max="9" width="10.28515625" bestFit="1" customWidth="1"/>
    <col min="10" max="10" width="11.28515625" bestFit="1" customWidth="1"/>
    <col min="11" max="11" width="10.28515625" bestFit="1" customWidth="1"/>
    <col min="12" max="12" width="14" bestFit="1" customWidth="1"/>
    <col min="13" max="13" width="10.28515625" bestFit="1" customWidth="1"/>
    <col min="14" max="14" width="11.28515625" bestFit="1" customWidth="1"/>
    <col min="15" max="15" width="10.28515625" bestFit="1" customWidth="1"/>
    <col min="16" max="16" width="14" bestFit="1" customWidth="1"/>
    <col min="17" max="17" width="10.28515625" bestFit="1" customWidth="1"/>
    <col min="18" max="18" width="11.28515625" bestFit="1" customWidth="1"/>
    <col min="19" max="19" width="10.28515625" bestFit="1" customWidth="1"/>
    <col min="20" max="20" width="14" bestFit="1" customWidth="1"/>
    <col min="21" max="21" width="10.28515625" bestFit="1" customWidth="1"/>
    <col min="22" max="22" width="11.28515625" bestFit="1" customWidth="1"/>
    <col min="23" max="23" width="10.28515625" bestFit="1" customWidth="1"/>
    <col min="24" max="24" width="11.42578125" bestFit="1" customWidth="1"/>
    <col min="25" max="25" width="9.28515625" bestFit="1" customWidth="1"/>
    <col min="26" max="26" width="8.7109375" bestFit="1" customWidth="1"/>
  </cols>
  <sheetData>
    <row r="1" spans="1:26" ht="15.75" thickBot="1" x14ac:dyDescent="0.3">
      <c r="A1" s="112" t="s">
        <v>245</v>
      </c>
      <c r="B1" s="113"/>
      <c r="C1" s="117" t="s">
        <v>0</v>
      </c>
      <c r="D1" s="118"/>
      <c r="E1" s="118"/>
      <c r="F1" s="118"/>
      <c r="G1" s="114" t="s">
        <v>1</v>
      </c>
      <c r="H1" s="115"/>
      <c r="I1" s="115"/>
      <c r="J1" s="116"/>
      <c r="K1" s="114" t="s">
        <v>2</v>
      </c>
      <c r="L1" s="115"/>
      <c r="M1" s="115"/>
      <c r="N1" s="116"/>
      <c r="O1" s="114" t="s">
        <v>3</v>
      </c>
      <c r="P1" s="115"/>
      <c r="Q1" s="115"/>
      <c r="R1" s="115"/>
      <c r="S1" s="114" t="s">
        <v>4</v>
      </c>
      <c r="T1" s="115"/>
      <c r="U1" s="115"/>
      <c r="V1" s="116"/>
      <c r="W1" s="114" t="s">
        <v>5</v>
      </c>
      <c r="X1" s="115"/>
      <c r="Y1" s="115"/>
      <c r="Z1" s="116"/>
    </row>
    <row r="2" spans="1:26" s="3" customFormat="1" ht="15.75" thickBot="1" x14ac:dyDescent="0.3">
      <c r="A2" s="89" t="s">
        <v>6</v>
      </c>
      <c r="B2" s="91" t="s">
        <v>7</v>
      </c>
      <c r="C2" s="89" t="s">
        <v>147</v>
      </c>
      <c r="D2" s="90" t="s">
        <v>148</v>
      </c>
      <c r="E2" s="90" t="s">
        <v>149</v>
      </c>
      <c r="F2" s="91" t="s">
        <v>150</v>
      </c>
      <c r="G2" s="89" t="s">
        <v>151</v>
      </c>
      <c r="H2" s="90" t="s">
        <v>152</v>
      </c>
      <c r="I2" s="90" t="s">
        <v>153</v>
      </c>
      <c r="J2" s="91" t="s">
        <v>154</v>
      </c>
      <c r="K2" s="89" t="s">
        <v>155</v>
      </c>
      <c r="L2" s="90" t="s">
        <v>156</v>
      </c>
      <c r="M2" s="90" t="s">
        <v>157</v>
      </c>
      <c r="N2" s="91" t="s">
        <v>158</v>
      </c>
      <c r="O2" s="89" t="s">
        <v>159</v>
      </c>
      <c r="P2" s="90" t="s">
        <v>160</v>
      </c>
      <c r="Q2" s="90" t="s">
        <v>161</v>
      </c>
      <c r="R2" s="90" t="s">
        <v>162</v>
      </c>
      <c r="S2" s="89" t="s">
        <v>163</v>
      </c>
      <c r="T2" s="90" t="s">
        <v>164</v>
      </c>
      <c r="U2" s="90" t="s">
        <v>165</v>
      </c>
      <c r="V2" s="91" t="s">
        <v>166</v>
      </c>
      <c r="W2" s="89" t="s">
        <v>8</v>
      </c>
      <c r="X2" s="90" t="s">
        <v>9</v>
      </c>
      <c r="Y2" s="90" t="s">
        <v>10</v>
      </c>
      <c r="Z2" s="91" t="s">
        <v>41</v>
      </c>
    </row>
    <row r="3" spans="1:26" x14ac:dyDescent="0.25">
      <c r="A3" s="92">
        <v>16046</v>
      </c>
      <c r="B3" s="93" t="s">
        <v>11</v>
      </c>
      <c r="C3" s="99">
        <v>28254.880000000001</v>
      </c>
      <c r="D3" s="100">
        <v>339.59</v>
      </c>
      <c r="E3" s="100">
        <v>2289.33</v>
      </c>
      <c r="F3" s="101">
        <f>IFERROR(T_Losas[[#This Row],[Peso SI]]/T_Losas[[#This Row],[Area SI]],)</f>
        <v>12.34198652007356</v>
      </c>
      <c r="G3" s="99">
        <v>30380.700000000004</v>
      </c>
      <c r="H3" s="100">
        <v>397.17</v>
      </c>
      <c r="I3" s="100">
        <v>2289.33</v>
      </c>
      <c r="J3" s="101">
        <f>IFERROR(T_Losas[[#This Row],[Peso S1]]/T_Losas[[#This Row],[Área S1]],)</f>
        <v>13.27056387676744</v>
      </c>
      <c r="K3" s="99"/>
      <c r="L3" s="100">
        <v>157.54</v>
      </c>
      <c r="M3" s="100"/>
      <c r="N3" s="101">
        <f>IFERROR(T_Losas[[#This Row],[Peso P1]]/T_Losas[[#This Row],[Área P1]],)</f>
        <v>0</v>
      </c>
      <c r="O3" s="99">
        <v>12622.529</v>
      </c>
      <c r="P3" s="100">
        <v>158.88999999999999</v>
      </c>
      <c r="Q3" s="100">
        <v>1076.1300000000001</v>
      </c>
      <c r="R3" s="101">
        <f>IFERROR(T_Losas[[#This Row],[Peso PT]]/T_Losas[[#This Row],[Área PT]],)</f>
        <v>11.729557767184261</v>
      </c>
      <c r="S3" s="99">
        <v>13355.91</v>
      </c>
      <c r="T3" s="100">
        <v>170.73</v>
      </c>
      <c r="U3" s="100">
        <v>1076.1300000000001</v>
      </c>
      <c r="V3" s="101">
        <f>IFERROR(T_Losas[[#This Row],[Peso PS]]/T_Losas[[#This Row],[Área PS]],)</f>
        <v>12.411056285021324</v>
      </c>
      <c r="W3" s="99">
        <v>198216.78000000003</v>
      </c>
      <c r="X3" s="100">
        <v>2522.8999999999996</v>
      </c>
      <c r="Y3" s="100">
        <v>16547.070000000003</v>
      </c>
      <c r="Z3" s="101">
        <f>IFERROR(T_Losas[[#This Row],[Peso]]/T_Losas[[#This Row],[Área]],)</f>
        <v>11.978965460350382</v>
      </c>
    </row>
    <row r="4" spans="1:26" x14ac:dyDescent="0.25">
      <c r="A4" s="94">
        <v>16061</v>
      </c>
      <c r="B4" s="95" t="s">
        <v>12</v>
      </c>
      <c r="C4" s="102">
        <v>46380.74782326867</v>
      </c>
      <c r="D4" s="85"/>
      <c r="E4" s="85">
        <v>3105.32</v>
      </c>
      <c r="F4" s="103">
        <f>IFERROR(T_Losas[[#This Row],[Peso SI]]/T_Losas[[#This Row],[Area SI]],)</f>
        <v>14.935899624923895</v>
      </c>
      <c r="G4" s="102">
        <v>27906.239999999998</v>
      </c>
      <c r="H4" s="85"/>
      <c r="I4" s="85">
        <v>1552.66</v>
      </c>
      <c r="J4" s="103">
        <f>IFERROR(T_Losas[[#This Row],[Peso S1]]/T_Losas[[#This Row],[Área S1]],)</f>
        <v>17.97318150786392</v>
      </c>
      <c r="K4" s="102">
        <v>9687.130000000001</v>
      </c>
      <c r="L4" s="85"/>
      <c r="M4" s="85">
        <v>890.45</v>
      </c>
      <c r="N4" s="103">
        <f>IFERROR(T_Losas[[#This Row],[Peso P1]]/T_Losas[[#This Row],[Área P1]],)</f>
        <v>10.878915155258579</v>
      </c>
      <c r="O4" s="102">
        <v>9723.6535000000003</v>
      </c>
      <c r="P4" s="85"/>
      <c r="Q4" s="85">
        <v>880.31</v>
      </c>
      <c r="R4" s="103">
        <f>IFERROR(T_Losas[[#This Row],[Peso PT]]/T_Losas[[#This Row],[Área PT]],)</f>
        <v>11.045715145800912</v>
      </c>
      <c r="S4" s="102">
        <v>9751.9850000000006</v>
      </c>
      <c r="T4" s="85"/>
      <c r="U4" s="85">
        <v>880.31</v>
      </c>
      <c r="V4" s="103">
        <f>IFERROR(T_Losas[[#This Row],[Peso PS]]/T_Losas[[#This Row],[Área PS]],)</f>
        <v>11.077898694777977</v>
      </c>
      <c r="W4" s="102">
        <v>181788.84782326865</v>
      </c>
      <c r="X4" s="85"/>
      <c r="Y4" s="85">
        <v>14472.099999999999</v>
      </c>
      <c r="Z4" s="103">
        <f>IFERROR(T_Losas[[#This Row],[Peso]]/T_Losas[[#This Row],[Área]],)</f>
        <v>12.561331653545006</v>
      </c>
    </row>
    <row r="5" spans="1:26" x14ac:dyDescent="0.25">
      <c r="A5" s="94">
        <v>16089</v>
      </c>
      <c r="B5" s="95" t="s">
        <v>13</v>
      </c>
      <c r="C5" s="102">
        <v>28664.811999999998</v>
      </c>
      <c r="D5" s="85"/>
      <c r="E5" s="85">
        <v>2164.9899999999998</v>
      </c>
      <c r="F5" s="103">
        <f>IFERROR(T_Losas[[#This Row],[Peso SI]]/T_Losas[[#This Row],[Area SI]],)</f>
        <v>13.240159076947238</v>
      </c>
      <c r="G5" s="102">
        <v>27318</v>
      </c>
      <c r="H5" s="85"/>
      <c r="I5" s="85">
        <v>2164.9899999999998</v>
      </c>
      <c r="J5" s="103">
        <f>IFERROR(T_Losas[[#This Row],[Peso S1]]/T_Losas[[#This Row],[Área S1]],)</f>
        <v>12.618072138901336</v>
      </c>
      <c r="K5" s="102">
        <v>18371.509999999998</v>
      </c>
      <c r="L5" s="85"/>
      <c r="M5" s="85">
        <v>1527.37</v>
      </c>
      <c r="N5" s="103">
        <f>IFERROR(T_Losas[[#This Row],[Peso P1]]/T_Losas[[#This Row],[Área P1]],)</f>
        <v>12.028198799243143</v>
      </c>
      <c r="O5" s="102">
        <v>11019.710000000001</v>
      </c>
      <c r="P5" s="85"/>
      <c r="Q5" s="85">
        <v>1527.37</v>
      </c>
      <c r="R5" s="103">
        <f>IFERROR(T_Losas[[#This Row],[Peso PT]]/T_Losas[[#This Row],[Área PT]],)</f>
        <v>7.2148267937696833</v>
      </c>
      <c r="S5" s="102">
        <v>18376.505000000001</v>
      </c>
      <c r="T5" s="85"/>
      <c r="U5" s="85">
        <v>1527.37</v>
      </c>
      <c r="V5" s="103">
        <f>IFERROR(T_Losas[[#This Row],[Peso PS]]/T_Losas[[#This Row],[Área PS]],)</f>
        <v>12.031469126668719</v>
      </c>
      <c r="W5" s="102">
        <v>198571.40400000004</v>
      </c>
      <c r="X5" s="85"/>
      <c r="Y5" s="85">
        <v>16183.369999999999</v>
      </c>
      <c r="Z5" s="103">
        <f>IFERROR(T_Losas[[#This Row],[Peso]]/T_Losas[[#This Row],[Área]],)</f>
        <v>12.270089851495705</v>
      </c>
    </row>
    <row r="6" spans="1:26" x14ac:dyDescent="0.25">
      <c r="A6" s="94">
        <v>17031</v>
      </c>
      <c r="B6" s="96" t="s">
        <v>14</v>
      </c>
      <c r="C6" s="102">
        <v>37344.42</v>
      </c>
      <c r="D6" s="85"/>
      <c r="E6" s="85">
        <v>3060.99</v>
      </c>
      <c r="F6" s="103">
        <f>IFERROR(T_Losas[[#This Row],[Peso SI]]/T_Losas[[#This Row],[Area SI]],)</f>
        <v>12.200111728558408</v>
      </c>
      <c r="G6" s="102">
        <v>53586.95</v>
      </c>
      <c r="H6" s="85"/>
      <c r="I6" s="85">
        <v>3054.09</v>
      </c>
      <c r="J6" s="103">
        <f>IFERROR(T_Losas[[#This Row],[Peso S1]]/T_Losas[[#This Row],[Área S1]],)</f>
        <v>17.545962954595311</v>
      </c>
      <c r="K6" s="102"/>
      <c r="L6" s="85"/>
      <c r="M6" s="85">
        <v>1824.94</v>
      </c>
      <c r="N6" s="103">
        <f>IFERROR(T_Losas[[#This Row],[Peso P1]]/T_Losas[[#This Row],[Área P1]],)</f>
        <v>0</v>
      </c>
      <c r="O6" s="102">
        <v>20351.311666666668</v>
      </c>
      <c r="P6" s="85"/>
      <c r="Q6" s="85">
        <v>1824.94</v>
      </c>
      <c r="R6" s="103">
        <f>IFERROR(T_Losas[[#This Row],[Peso PT]]/T_Losas[[#This Row],[Área PT]],)</f>
        <v>11.151770286511704</v>
      </c>
      <c r="S6" s="102">
        <v>19589.11</v>
      </c>
      <c r="T6" s="85"/>
      <c r="U6" s="85">
        <v>1824.94</v>
      </c>
      <c r="V6" s="103">
        <f>IFERROR(T_Losas[[#This Row],[Peso PS]]/T_Losas[[#This Row],[Área PS]],)</f>
        <v>10.734111806415553</v>
      </c>
      <c r="W6" s="102">
        <v>234314.3</v>
      </c>
      <c r="X6" s="85"/>
      <c r="Y6" s="85">
        <v>19002.280000000002</v>
      </c>
      <c r="Z6" s="103">
        <f>IFERROR(T_Losas[[#This Row],[Peso]]/T_Losas[[#This Row],[Área]],)</f>
        <v>12.330851876722159</v>
      </c>
    </row>
    <row r="7" spans="1:26" x14ac:dyDescent="0.25">
      <c r="A7" s="94">
        <v>17050</v>
      </c>
      <c r="B7" s="96" t="s">
        <v>15</v>
      </c>
      <c r="C7" s="102">
        <v>58703.344150000004</v>
      </c>
      <c r="D7" s="85"/>
      <c r="E7" s="85">
        <v>5441.7000000000007</v>
      </c>
      <c r="F7" s="103">
        <f>IFERROR(T_Losas[[#This Row],[Peso SI]]/T_Losas[[#This Row],[Area SI]],)</f>
        <v>10.787684758439458</v>
      </c>
      <c r="G7" s="102">
        <v>31666.481449999999</v>
      </c>
      <c r="H7" s="85"/>
      <c r="I7" s="85">
        <v>1572.5</v>
      </c>
      <c r="J7" s="103">
        <f>IFERROR(T_Losas[[#This Row],[Peso S1]]/T_Losas[[#This Row],[Área S1]],)</f>
        <v>20.137667058823528</v>
      </c>
      <c r="K7" s="102">
        <v>7087.5332500000004</v>
      </c>
      <c r="L7" s="85"/>
      <c r="M7" s="85">
        <v>494.67</v>
      </c>
      <c r="N7" s="103">
        <f>IFERROR(T_Losas[[#This Row],[Peso P1]]/T_Losas[[#This Row],[Área P1]],)</f>
        <v>14.327800857137081</v>
      </c>
      <c r="O7" s="102">
        <v>6718.2953333333326</v>
      </c>
      <c r="P7" s="85"/>
      <c r="Q7" s="85">
        <v>639.02</v>
      </c>
      <c r="R7" s="103">
        <f>IFERROR(T_Losas[[#This Row],[Peso PT]]/T_Losas[[#This Row],[Área PT]],)</f>
        <v>10.513435155915829</v>
      </c>
      <c r="S7" s="102">
        <v>7491.7699999999995</v>
      </c>
      <c r="T7" s="85"/>
      <c r="U7" s="85">
        <v>639.02</v>
      </c>
      <c r="V7" s="103">
        <f>IFERROR(T_Losas[[#This Row],[Peso PS]]/T_Losas[[#This Row],[Área PS]],)</f>
        <v>11.723842759225063</v>
      </c>
      <c r="W7" s="102">
        <v>286291.92029999994</v>
      </c>
      <c r="X7" s="85"/>
      <c r="Y7" s="85">
        <v>23522.560000000012</v>
      </c>
      <c r="Z7" s="103">
        <f>IFERROR(T_Losas[[#This Row],[Peso]]/T_Losas[[#This Row],[Área]],)</f>
        <v>12.170950793621094</v>
      </c>
    </row>
    <row r="8" spans="1:26" x14ac:dyDescent="0.25">
      <c r="A8" s="94">
        <v>17080</v>
      </c>
      <c r="B8" s="96" t="s">
        <v>16</v>
      </c>
      <c r="C8" s="102">
        <v>42486.04</v>
      </c>
      <c r="D8" s="85"/>
      <c r="E8" s="85">
        <v>3193.41</v>
      </c>
      <c r="F8" s="103">
        <f>IFERROR(T_Losas[[#This Row],[Peso SI]]/T_Losas[[#This Row],[Area SI]],)</f>
        <v>13.304286014010103</v>
      </c>
      <c r="G8" s="102">
        <v>24073.66</v>
      </c>
      <c r="H8" s="85"/>
      <c r="I8" s="85">
        <v>1586.99</v>
      </c>
      <c r="J8" s="103">
        <f>IFERROR(T_Losas[[#This Row],[Peso S1]]/T_Losas[[#This Row],[Área S1]],)</f>
        <v>15.169383549990863</v>
      </c>
      <c r="K8" s="102">
        <v>10443.86</v>
      </c>
      <c r="L8" s="85"/>
      <c r="M8" s="85">
        <v>1021.75</v>
      </c>
      <c r="N8" s="103">
        <f>IFERROR(T_Losas[[#This Row],[Peso P1]]/T_Losas[[#This Row],[Área P1]],)</f>
        <v>10.221541472963054</v>
      </c>
      <c r="O8" s="102">
        <v>11844.782727272728</v>
      </c>
      <c r="P8" s="85"/>
      <c r="Q8" s="85">
        <v>1100.0999999999999</v>
      </c>
      <c r="R8" s="103">
        <f>IFERROR(T_Losas[[#This Row],[Peso PT]]/T_Losas[[#This Row],[Área PT]],)</f>
        <v>10.767005478840769</v>
      </c>
      <c r="S8" s="102">
        <v>12718.98</v>
      </c>
      <c r="T8" s="85"/>
      <c r="U8" s="85">
        <v>1100.0999999999999</v>
      </c>
      <c r="V8" s="103">
        <f>IFERROR(T_Losas[[#This Row],[Peso PS]]/T_Losas[[#This Row],[Área PS]],)</f>
        <v>11.561658031088083</v>
      </c>
      <c r="W8" s="102">
        <v>234309.91999999995</v>
      </c>
      <c r="X8" s="85"/>
      <c r="Y8" s="85">
        <v>20253.310000000005</v>
      </c>
      <c r="Z8" s="103">
        <f>IFERROR(T_Losas[[#This Row],[Peso]]/T_Losas[[#This Row],[Área]],)</f>
        <v>11.568969220339781</v>
      </c>
    </row>
    <row r="9" spans="1:26" x14ac:dyDescent="0.25">
      <c r="A9" s="94">
        <v>17098</v>
      </c>
      <c r="B9" s="96" t="s">
        <v>17</v>
      </c>
      <c r="C9" s="104">
        <v>9503.01</v>
      </c>
      <c r="D9" s="27"/>
      <c r="E9" s="85">
        <v>748.79</v>
      </c>
      <c r="F9" s="103">
        <f>IFERROR(T_Losas[[#This Row],[Peso SI]]/T_Losas[[#This Row],[Area SI]],)</f>
        <v>12.691155063502451</v>
      </c>
      <c r="G9" s="102">
        <v>12094.91</v>
      </c>
      <c r="H9" s="85"/>
      <c r="I9" s="85">
        <v>748.79</v>
      </c>
      <c r="J9" s="103">
        <f>IFERROR(T_Losas[[#This Row],[Peso S1]]/T_Losas[[#This Row],[Área S1]],)</f>
        <v>16.152606204676879</v>
      </c>
      <c r="K9" s="102">
        <v>6499.92</v>
      </c>
      <c r="L9" s="85"/>
      <c r="M9" s="85">
        <v>600.09</v>
      </c>
      <c r="N9" s="103">
        <f>IFERROR(T_Losas[[#This Row],[Peso P1]]/T_Losas[[#This Row],[Área P1]],)</f>
        <v>10.831575263710443</v>
      </c>
      <c r="O9" s="102">
        <v>7105.8357142857149</v>
      </c>
      <c r="P9" s="85"/>
      <c r="Q9" s="85">
        <v>658.42</v>
      </c>
      <c r="R9" s="103">
        <f>IFERROR(T_Losas[[#This Row],[Peso PT]]/T_Losas[[#This Row],[Área PT]],)</f>
        <v>10.792253750320032</v>
      </c>
      <c r="S9" s="102">
        <v>7676.5599999999995</v>
      </c>
      <c r="T9" s="85"/>
      <c r="U9" s="85">
        <v>658.42</v>
      </c>
      <c r="V9" s="103">
        <f>IFERROR(T_Losas[[#This Row],[Peso PS]]/T_Losas[[#This Row],[Área PS]],)</f>
        <v>11.659062604416635</v>
      </c>
      <c r="W9" s="102">
        <v>96229.46</v>
      </c>
      <c r="X9" s="85"/>
      <c r="Y9" s="85">
        <v>8300.9900000000016</v>
      </c>
      <c r="Z9" s="103">
        <f>IFERROR(T_Losas[[#This Row],[Peso]]/T_Losas[[#This Row],[Área]],)</f>
        <v>11.592528120139885</v>
      </c>
    </row>
    <row r="10" spans="1:26" x14ac:dyDescent="0.25">
      <c r="A10" s="94">
        <v>17100</v>
      </c>
      <c r="B10" s="96" t="s">
        <v>18</v>
      </c>
      <c r="C10" s="102">
        <v>33198.589999999997</v>
      </c>
      <c r="D10" s="85"/>
      <c r="E10" s="85">
        <v>2209.15</v>
      </c>
      <c r="F10" s="103">
        <f>IFERROR(T_Losas[[#This Row],[Peso SI]]/T_Losas[[#This Row],[Area SI]],)</f>
        <v>15.027766335468391</v>
      </c>
      <c r="G10" s="102">
        <v>40196.180000000008</v>
      </c>
      <c r="H10" s="85"/>
      <c r="I10" s="85">
        <v>1991.97</v>
      </c>
      <c r="J10" s="103">
        <f>IFERROR(T_Losas[[#This Row],[Peso S1]]/T_Losas[[#This Row],[Área S1]],)</f>
        <v>20.179109123129368</v>
      </c>
      <c r="K10" s="102">
        <v>8802.380000000001</v>
      </c>
      <c r="L10" s="85"/>
      <c r="M10" s="85">
        <v>625.46</v>
      </c>
      <c r="N10" s="103">
        <f>IFERROR(T_Losas[[#This Row],[Peso P1]]/T_Losas[[#This Row],[Área P1]],)</f>
        <v>14.07344994084354</v>
      </c>
      <c r="O10" s="102">
        <v>9695.5161538461525</v>
      </c>
      <c r="P10" s="85"/>
      <c r="Q10" s="85">
        <v>800.61</v>
      </c>
      <c r="R10" s="103">
        <f>IFERROR(T_Losas[[#This Row],[Peso PT]]/T_Losas[[#This Row],[Área PT]],)</f>
        <v>12.110161194396962</v>
      </c>
      <c r="S10" s="102">
        <v>8053.7199999999993</v>
      </c>
      <c r="T10" s="85"/>
      <c r="U10" s="85">
        <v>800.61</v>
      </c>
      <c r="V10" s="103">
        <f>IFERROR(T_Losas[[#This Row],[Peso PS]]/T_Losas[[#This Row],[Área PS]],)</f>
        <v>10.059479646769338</v>
      </c>
      <c r="W10" s="102">
        <v>218893.75999999998</v>
      </c>
      <c r="X10" s="85"/>
      <c r="Y10" s="85">
        <v>16551.04</v>
      </c>
      <c r="Z10" s="103">
        <f>IFERROR(T_Losas[[#This Row],[Peso]]/T_Losas[[#This Row],[Área]],)</f>
        <v>13.225377982289933</v>
      </c>
    </row>
    <row r="11" spans="1:26" x14ac:dyDescent="0.25">
      <c r="A11" s="94">
        <v>17106</v>
      </c>
      <c r="B11" s="96" t="s">
        <v>19</v>
      </c>
      <c r="C11" s="102">
        <v>38028.1224</v>
      </c>
      <c r="D11" s="85"/>
      <c r="E11" s="85">
        <v>2782.56</v>
      </c>
      <c r="F11" s="103">
        <f>IFERROR(T_Losas[[#This Row],[Peso SI]]/T_Losas[[#This Row],[Area SI]],)</f>
        <v>13.666595652923926</v>
      </c>
      <c r="G11" s="102">
        <v>44762.824850000005</v>
      </c>
      <c r="H11" s="85"/>
      <c r="I11" s="85">
        <v>2594.02</v>
      </c>
      <c r="J11" s="103">
        <f>IFERROR(T_Losas[[#This Row],[Peso S1]]/T_Losas[[#This Row],[Área S1]],)</f>
        <v>17.256160264762801</v>
      </c>
      <c r="K11" s="102">
        <v>13910.279999999999</v>
      </c>
      <c r="L11" s="85"/>
      <c r="M11" s="85">
        <v>1162.5</v>
      </c>
      <c r="N11" s="103">
        <f>IFERROR(T_Losas[[#This Row],[Peso P1]]/T_Losas[[#This Row],[Área P1]],)</f>
        <v>11.965832258064514</v>
      </c>
      <c r="O11" s="102">
        <v>16011.25375</v>
      </c>
      <c r="P11" s="85"/>
      <c r="Q11" s="85">
        <v>1337.92</v>
      </c>
      <c r="R11" s="103">
        <f>IFERROR(T_Losas[[#This Row],[Peso PT]]/T_Losas[[#This Row],[Área PT]],)</f>
        <v>11.967272893745514</v>
      </c>
      <c r="S11" s="102">
        <v>12560.875800000002</v>
      </c>
      <c r="T11" s="85"/>
      <c r="U11" s="85">
        <v>1110.68</v>
      </c>
      <c r="V11" s="103">
        <f>IFERROR(T_Losas[[#This Row],[Peso PS]]/T_Losas[[#This Row],[Área PS]],)</f>
        <v>11.30917618035798</v>
      </c>
      <c r="W11" s="102">
        <v>270907.41515000002</v>
      </c>
      <c r="X11" s="85"/>
      <c r="Y11" s="85">
        <v>21028.960000000003</v>
      </c>
      <c r="Z11" s="103">
        <f>IFERROR(T_Losas[[#This Row],[Peso]]/T_Losas[[#This Row],[Área]],)</f>
        <v>12.882587400898569</v>
      </c>
    </row>
    <row r="12" spans="1:26" x14ac:dyDescent="0.25">
      <c r="A12" s="94">
        <v>17502</v>
      </c>
      <c r="B12" s="96" t="s">
        <v>20</v>
      </c>
      <c r="C12" s="102">
        <v>21304.75</v>
      </c>
      <c r="D12" s="85"/>
      <c r="E12" s="85">
        <v>1596.69</v>
      </c>
      <c r="F12" s="103">
        <f>IFERROR(T_Losas[[#This Row],[Peso SI]]/T_Losas[[#This Row],[Area SI]],)</f>
        <v>13.343072230677214</v>
      </c>
      <c r="G12" s="102">
        <v>27184.92</v>
      </c>
      <c r="H12" s="85"/>
      <c r="I12" s="85">
        <v>1596.69</v>
      </c>
      <c r="J12" s="103">
        <f>IFERROR(T_Losas[[#This Row],[Peso S1]]/T_Losas[[#This Row],[Área S1]],)</f>
        <v>17.02579711778742</v>
      </c>
      <c r="K12" s="102">
        <v>8557.9600000000009</v>
      </c>
      <c r="L12" s="85"/>
      <c r="M12" s="85">
        <v>557.42999999999995</v>
      </c>
      <c r="N12" s="103">
        <f>IFERROR(T_Losas[[#This Row],[Peso P1]]/T_Losas[[#This Row],[Área P1]],)</f>
        <v>15.352528568609515</v>
      </c>
      <c r="O12" s="102">
        <v>10911.39</v>
      </c>
      <c r="P12" s="85"/>
      <c r="Q12" s="85">
        <v>730.18</v>
      </c>
      <c r="R12" s="103">
        <f>IFERROR(T_Losas[[#This Row],[Peso PT]]/T_Losas[[#This Row],[Área PT]],)</f>
        <v>14.943424908926566</v>
      </c>
      <c r="S12" s="102">
        <v>8908.85</v>
      </c>
      <c r="T12" s="85"/>
      <c r="U12" s="85">
        <v>641.27</v>
      </c>
      <c r="V12" s="103">
        <f>IFERROR(T_Losas[[#This Row],[Peso PS]]/T_Losas[[#This Row],[Área PS]],)</f>
        <v>13.892510175121245</v>
      </c>
      <c r="W12" s="102">
        <v>165800.10999999999</v>
      </c>
      <c r="X12" s="85"/>
      <c r="Y12" s="85">
        <v>11313.830000000002</v>
      </c>
      <c r="Z12" s="103">
        <f>IFERROR(T_Losas[[#This Row],[Peso]]/T_Losas[[#This Row],[Área]],)</f>
        <v>14.654640382611367</v>
      </c>
    </row>
    <row r="13" spans="1:26" x14ac:dyDescent="0.25">
      <c r="A13" s="94">
        <v>17504</v>
      </c>
      <c r="B13" s="96" t="s">
        <v>21</v>
      </c>
      <c r="C13" s="102">
        <v>11046</v>
      </c>
      <c r="D13" s="85"/>
      <c r="E13" s="85">
        <v>958.08</v>
      </c>
      <c r="F13" s="103">
        <f>IFERROR(T_Losas[[#This Row],[Peso SI]]/T_Losas[[#This Row],[Area SI]],)</f>
        <v>11.529308617234468</v>
      </c>
      <c r="G13" s="102">
        <v>15518.7</v>
      </c>
      <c r="H13" s="85"/>
      <c r="I13" s="85">
        <v>1049.23</v>
      </c>
      <c r="J13" s="103">
        <f>IFERROR(T_Losas[[#This Row],[Peso S1]]/T_Losas[[#This Row],[Área S1]],)</f>
        <v>14.790560696892006</v>
      </c>
      <c r="K13" s="102">
        <v>10371.450000000001</v>
      </c>
      <c r="L13" s="85"/>
      <c r="M13" s="85">
        <v>984.3</v>
      </c>
      <c r="N13" s="103">
        <f>IFERROR(T_Losas[[#This Row],[Peso P1]]/T_Losas[[#This Row],[Área P1]],)</f>
        <v>10.536879000304786</v>
      </c>
      <c r="O13" s="102">
        <v>10438.736666666666</v>
      </c>
      <c r="P13" s="85"/>
      <c r="Q13" s="85">
        <v>984.3</v>
      </c>
      <c r="R13" s="103">
        <f>IFERROR(T_Losas[[#This Row],[Peso PT]]/T_Losas[[#This Row],[Área PT]],)</f>
        <v>10.60523891767415</v>
      </c>
      <c r="S13" s="102">
        <v>11864.050000000001</v>
      </c>
      <c r="T13" s="85"/>
      <c r="U13" s="85">
        <v>984.3</v>
      </c>
      <c r="V13" s="103">
        <f>IFERROR(T_Losas[[#This Row],[Peso PS]]/T_Losas[[#This Row],[Área PS]],)</f>
        <v>12.053286599613941</v>
      </c>
      <c r="W13" s="102">
        <v>80939.25</v>
      </c>
      <c r="X13" s="85"/>
      <c r="Y13" s="85">
        <v>6928.8099999999995</v>
      </c>
      <c r="Z13" s="103">
        <f>IFERROR(T_Losas[[#This Row],[Peso]]/T_Losas[[#This Row],[Área]],)</f>
        <v>11.681551377509271</v>
      </c>
    </row>
    <row r="14" spans="1:26" x14ac:dyDescent="0.25">
      <c r="A14" s="94">
        <v>18001</v>
      </c>
      <c r="B14" s="96" t="s">
        <v>22</v>
      </c>
      <c r="C14" s="102">
        <v>33198.335700000003</v>
      </c>
      <c r="D14" s="85"/>
      <c r="E14" s="85">
        <v>2223.62</v>
      </c>
      <c r="F14" s="103">
        <f>IFERROR(T_Losas[[#This Row],[Peso SI]]/T_Losas[[#This Row],[Area SI]],)</f>
        <v>14.92986018294493</v>
      </c>
      <c r="G14" s="102">
        <v>33470.782550000004</v>
      </c>
      <c r="H14" s="85"/>
      <c r="I14" s="85">
        <v>2223.62</v>
      </c>
      <c r="J14" s="103">
        <f>IFERROR(T_Losas[[#This Row],[Peso S1]]/T_Losas[[#This Row],[Área S1]],)</f>
        <v>15.052384197839562</v>
      </c>
      <c r="K14" s="102">
        <v>23371.442499999997</v>
      </c>
      <c r="L14" s="85"/>
      <c r="M14" s="85">
        <v>1585.4199999999998</v>
      </c>
      <c r="N14" s="103">
        <f>IFERROR(T_Losas[[#This Row],[Peso P1]]/T_Losas[[#This Row],[Área P1]],)</f>
        <v>14.741483329338598</v>
      </c>
      <c r="O14" s="102">
        <v>23615.417850000002</v>
      </c>
      <c r="P14" s="85"/>
      <c r="Q14" s="85">
        <v>1570.08</v>
      </c>
      <c r="R14" s="103">
        <f>IFERROR(T_Losas[[#This Row],[Peso PT]]/T_Losas[[#This Row],[Área PT]],)</f>
        <v>15.040901005044331</v>
      </c>
      <c r="S14" s="102">
        <v>23340</v>
      </c>
      <c r="T14" s="85"/>
      <c r="U14" s="85">
        <v>1570.08</v>
      </c>
      <c r="V14" s="103">
        <f>IFERROR(T_Losas[[#This Row],[Peso PS]]/T_Losas[[#This Row],[Área PS]],)</f>
        <v>14.86548456129624</v>
      </c>
      <c r="W14" s="102">
        <v>215750.32214999996</v>
      </c>
      <c r="X14" s="85"/>
      <c r="Y14" s="85">
        <v>13883.06</v>
      </c>
      <c r="Z14" s="103">
        <f>IFERROR(T_Losas[[#This Row],[Peso]]/T_Losas[[#This Row],[Área]],)</f>
        <v>15.540545250830867</v>
      </c>
    </row>
    <row r="15" spans="1:26" x14ac:dyDescent="0.25">
      <c r="A15" s="94">
        <v>18002</v>
      </c>
      <c r="B15" s="96" t="s">
        <v>23</v>
      </c>
      <c r="C15" s="102">
        <v>29933.84735</v>
      </c>
      <c r="D15" s="85"/>
      <c r="E15" s="85">
        <v>2133.58</v>
      </c>
      <c r="F15" s="103">
        <f>IFERROR(T_Losas[[#This Row],[Peso SI]]/T_Losas[[#This Row],[Area SI]],)</f>
        <v>14.029868741739238</v>
      </c>
      <c r="G15" s="102">
        <v>16979.497350000001</v>
      </c>
      <c r="H15" s="85"/>
      <c r="I15" s="85">
        <v>1066.79</v>
      </c>
      <c r="J15" s="103">
        <f>IFERROR(T_Losas[[#This Row],[Peso S1]]/T_Losas[[#This Row],[Área S1]],)</f>
        <v>15.91643842743183</v>
      </c>
      <c r="K15" s="102">
        <v>13008.97</v>
      </c>
      <c r="L15" s="85"/>
      <c r="M15" s="85">
        <v>878.37</v>
      </c>
      <c r="N15" s="103">
        <f>IFERROR(T_Losas[[#This Row],[Peso P1]]/T_Losas[[#This Row],[Área P1]],)</f>
        <v>14.810353267985017</v>
      </c>
      <c r="O15" s="102">
        <v>12736.066000000001</v>
      </c>
      <c r="P15" s="85"/>
      <c r="Q15" s="85">
        <v>1001.43</v>
      </c>
      <c r="R15" s="103">
        <f>IFERROR(T_Losas[[#This Row],[Peso PT]]/T_Losas[[#This Row],[Área PT]],)</f>
        <v>12.717879432411653</v>
      </c>
      <c r="S15" s="102">
        <v>11862.44</v>
      </c>
      <c r="T15" s="85"/>
      <c r="U15" s="85">
        <v>1001.43</v>
      </c>
      <c r="V15" s="103">
        <f>IFERROR(T_Losas[[#This Row],[Peso PS]]/T_Losas[[#This Row],[Área PS]],)</f>
        <v>11.84550093366486</v>
      </c>
      <c r="W15" s="102">
        <v>162470.4847</v>
      </c>
      <c r="X15" s="85"/>
      <c r="Y15" s="85">
        <v>12466.650000000005</v>
      </c>
      <c r="Z15" s="103">
        <f>IFERROR(T_Losas[[#This Row],[Peso]]/T_Losas[[#This Row],[Área]],)</f>
        <v>13.03240924386262</v>
      </c>
    </row>
    <row r="16" spans="1:26" x14ac:dyDescent="0.25">
      <c r="A16" s="94">
        <v>18003</v>
      </c>
      <c r="B16" s="96" t="s">
        <v>24</v>
      </c>
      <c r="C16" s="102">
        <v>31702.52</v>
      </c>
      <c r="D16" s="85"/>
      <c r="E16" s="85">
        <v>2402.2199999999998</v>
      </c>
      <c r="F16" s="103">
        <f>IFERROR(T_Losas[[#This Row],[Peso SI]]/T_Losas[[#This Row],[Area SI]],)</f>
        <v>13.19717594558367</v>
      </c>
      <c r="G16" s="102">
        <v>12993.630000000001</v>
      </c>
      <c r="H16" s="85"/>
      <c r="I16" s="85">
        <v>800.79</v>
      </c>
      <c r="J16" s="103">
        <f>IFERROR(T_Losas[[#This Row],[Peso S1]]/T_Losas[[#This Row],[Área S1]],)</f>
        <v>16.22601431086802</v>
      </c>
      <c r="K16" s="102">
        <v>6975.7800000000007</v>
      </c>
      <c r="L16" s="85"/>
      <c r="M16" s="85">
        <v>623.97</v>
      </c>
      <c r="N16" s="103">
        <f>IFERROR(T_Losas[[#This Row],[Peso P1]]/T_Losas[[#This Row],[Área P1]],)</f>
        <v>11.179672099620175</v>
      </c>
      <c r="O16" s="102">
        <v>7508.4766666666656</v>
      </c>
      <c r="P16" s="85"/>
      <c r="Q16" s="85">
        <v>689.86</v>
      </c>
      <c r="R16" s="103">
        <f>IFERROR(T_Losas[[#This Row],[Peso PT]]/T_Losas[[#This Row],[Área PT]],)</f>
        <v>10.88405860126209</v>
      </c>
      <c r="S16" s="102">
        <v>7614.26</v>
      </c>
      <c r="T16" s="85"/>
      <c r="U16" s="85">
        <v>689.86</v>
      </c>
      <c r="V16" s="103">
        <f>IFERROR(T_Losas[[#This Row],[Peso PS]]/T_Losas[[#This Row],[Área PS]],)</f>
        <v>11.03739889252892</v>
      </c>
      <c r="W16" s="102">
        <v>135106.54999999999</v>
      </c>
      <c r="X16" s="85"/>
      <c r="Y16" s="85">
        <v>11415.439999999997</v>
      </c>
      <c r="Z16" s="103">
        <f>IFERROR(T_Losas[[#This Row],[Peso]]/T_Losas[[#This Row],[Área]],)</f>
        <v>11.83542202490662</v>
      </c>
    </row>
    <row r="17" spans="1:26" x14ac:dyDescent="0.25">
      <c r="A17" s="94">
        <v>18004</v>
      </c>
      <c r="B17" s="96" t="s">
        <v>25</v>
      </c>
      <c r="C17" s="102">
        <v>48986.320000000007</v>
      </c>
      <c r="D17" s="85"/>
      <c r="E17" s="85">
        <v>3250.86</v>
      </c>
      <c r="F17" s="103">
        <f>IFERROR(T_Losas[[#This Row],[Peso SI]]/T_Losas[[#This Row],[Area SI]],)</f>
        <v>15.06872642931409</v>
      </c>
      <c r="G17" s="102">
        <v>30316.86</v>
      </c>
      <c r="H17" s="85"/>
      <c r="I17" s="85">
        <v>1827.5529999999999</v>
      </c>
      <c r="J17" s="103">
        <f>IFERROR(T_Losas[[#This Row],[Peso S1]]/T_Losas[[#This Row],[Área S1]],)</f>
        <v>16.588771980894673</v>
      </c>
      <c r="K17" s="102">
        <v>10569.029999999999</v>
      </c>
      <c r="L17" s="85"/>
      <c r="M17" s="85">
        <v>936.94</v>
      </c>
      <c r="N17" s="103">
        <f>IFERROR(T_Losas[[#This Row],[Peso P1]]/T_Losas[[#This Row],[Área P1]],)</f>
        <v>11.280370141097613</v>
      </c>
      <c r="O17" s="102">
        <v>11038.681</v>
      </c>
      <c r="P17" s="85"/>
      <c r="Q17" s="85">
        <v>912.91</v>
      </c>
      <c r="R17" s="103">
        <f>IFERROR(T_Losas[[#This Row],[Peso PT]]/T_Losas[[#This Row],[Área PT]],)</f>
        <v>12.091751651312835</v>
      </c>
      <c r="S17" s="102">
        <v>10647.82</v>
      </c>
      <c r="T17" s="85"/>
      <c r="U17" s="85">
        <v>912.91</v>
      </c>
      <c r="V17" s="103">
        <f>IFERROR(T_Losas[[#This Row],[Peso PS]]/T_Losas[[#This Row],[Área PS]],)</f>
        <v>11.663603202944431</v>
      </c>
      <c r="W17" s="102">
        <v>212083.41</v>
      </c>
      <c r="X17" s="85"/>
      <c r="Y17" s="85">
        <v>16152.573</v>
      </c>
      <c r="Z17" s="103">
        <f>IFERROR(T_Losas[[#This Row],[Peso]]/T_Losas[[#This Row],[Área]],)</f>
        <v>13.130007832188717</v>
      </c>
    </row>
    <row r="18" spans="1:26" x14ac:dyDescent="0.25">
      <c r="A18" s="94">
        <v>18006</v>
      </c>
      <c r="B18" s="96" t="s">
        <v>26</v>
      </c>
      <c r="C18" s="102">
        <v>29719.59</v>
      </c>
      <c r="D18" s="85"/>
      <c r="E18" s="85">
        <v>2302.54</v>
      </c>
      <c r="F18" s="103">
        <f>IFERROR(T_Losas[[#This Row],[Peso SI]]/T_Losas[[#This Row],[Area SI]],)</f>
        <v>12.907306713455576</v>
      </c>
      <c r="G18" s="102">
        <v>19197.47</v>
      </c>
      <c r="H18" s="85"/>
      <c r="I18" s="85">
        <v>1148.6399999999999</v>
      </c>
      <c r="J18" s="103">
        <f>IFERROR(T_Losas[[#This Row],[Peso S1]]/T_Losas[[#This Row],[Área S1]],)</f>
        <v>16.713217370107259</v>
      </c>
      <c r="K18" s="102">
        <v>15173.23</v>
      </c>
      <c r="L18" s="85"/>
      <c r="M18" s="85">
        <v>1148.9399999999998</v>
      </c>
      <c r="N18" s="103">
        <f>IFERROR(T_Losas[[#This Row],[Peso P1]]/T_Losas[[#This Row],[Área P1]],)</f>
        <v>13.20628579386217</v>
      </c>
      <c r="O18" s="102">
        <v>8604.878333333334</v>
      </c>
      <c r="P18" s="85"/>
      <c r="Q18" s="85">
        <v>704.45</v>
      </c>
      <c r="R18" s="103">
        <f>IFERROR(T_Losas[[#This Row],[Peso PT]]/T_Losas[[#This Row],[Área PT]],)</f>
        <v>12.215030638559632</v>
      </c>
      <c r="S18" s="102">
        <v>7522.43</v>
      </c>
      <c r="T18" s="85"/>
      <c r="U18" s="85">
        <v>621.14</v>
      </c>
      <c r="V18" s="103">
        <f>IFERROR(T_Losas[[#This Row],[Peso PS]]/T_Losas[[#This Row],[Área PS]],)</f>
        <v>12.110683581801204</v>
      </c>
      <c r="W18" s="102">
        <v>220728.45</v>
      </c>
      <c r="X18" s="85"/>
      <c r="Y18" s="85">
        <v>17423.97</v>
      </c>
      <c r="Z18" s="103">
        <f>IFERROR(T_Losas[[#This Row],[Peso]]/T_Losas[[#This Row],[Área]],)</f>
        <v>12.668091715033944</v>
      </c>
    </row>
    <row r="19" spans="1:26" x14ac:dyDescent="0.25">
      <c r="A19" s="94">
        <v>18007</v>
      </c>
      <c r="B19" s="96" t="s">
        <v>27</v>
      </c>
      <c r="C19" s="102">
        <v>30804.400000000001</v>
      </c>
      <c r="D19" s="85"/>
      <c r="E19" s="85">
        <v>2347.1</v>
      </c>
      <c r="F19" s="103">
        <f>IFERROR(T_Losas[[#This Row],[Peso SI]]/T_Losas[[#This Row],[Area SI]],)</f>
        <v>13.124451450726429</v>
      </c>
      <c r="G19" s="102">
        <v>21352.760000000002</v>
      </c>
      <c r="H19" s="85"/>
      <c r="I19" s="85">
        <v>1715.8</v>
      </c>
      <c r="J19" s="103">
        <f>IFERROR(T_Losas[[#This Row],[Peso S1]]/T_Losas[[#This Row],[Área S1]],)</f>
        <v>12.444783774332674</v>
      </c>
      <c r="K19" s="102">
        <v>7912.7200000000012</v>
      </c>
      <c r="L19" s="85"/>
      <c r="M19" s="85">
        <v>624.86</v>
      </c>
      <c r="N19" s="103">
        <f>IFERROR(T_Losas[[#This Row],[Peso P1]]/T_Losas[[#This Row],[Área P1]],)</f>
        <v>12.66318855423615</v>
      </c>
      <c r="O19" s="102">
        <v>9291.7216666666664</v>
      </c>
      <c r="P19" s="85"/>
      <c r="Q19" s="85">
        <v>624.86</v>
      </c>
      <c r="R19" s="103">
        <f>IFERROR(T_Losas[[#This Row],[Peso PT]]/T_Losas[[#This Row],[Área PT]],)</f>
        <v>14.870085565833412</v>
      </c>
      <c r="S19" s="102">
        <v>5266.97</v>
      </c>
      <c r="T19" s="85"/>
      <c r="U19" s="85">
        <v>531.5</v>
      </c>
      <c r="V19" s="103">
        <f>IFERROR(T_Losas[[#This Row],[Peso PS]]/T_Losas[[#This Row],[Área PS]],)</f>
        <v>9.9096331138287876</v>
      </c>
      <c r="W19" s="102">
        <v>173631.49000000002</v>
      </c>
      <c r="X19" s="85"/>
      <c r="Y19" s="85">
        <v>12999.859999999999</v>
      </c>
      <c r="Z19" s="103">
        <f>IFERROR(T_Losas[[#This Row],[Peso]]/T_Losas[[#This Row],[Área]],)</f>
        <v>13.35641229982477</v>
      </c>
    </row>
    <row r="20" spans="1:26" x14ac:dyDescent="0.25">
      <c r="A20" s="94">
        <v>18039</v>
      </c>
      <c r="B20" s="96" t="s">
        <v>28</v>
      </c>
      <c r="C20" s="102">
        <v>23273.809999999998</v>
      </c>
      <c r="D20" s="85"/>
      <c r="E20" s="85">
        <v>1385</v>
      </c>
      <c r="F20" s="103">
        <f>IFERROR(T_Losas[[#This Row],[Peso SI]]/T_Losas[[#This Row],[Area SI]],)</f>
        <v>16.804194945848373</v>
      </c>
      <c r="G20" s="102">
        <v>23559.3</v>
      </c>
      <c r="H20" s="85"/>
      <c r="I20" s="85">
        <v>1385</v>
      </c>
      <c r="J20" s="103">
        <f>IFERROR(T_Losas[[#This Row],[Peso S1]]/T_Losas[[#This Row],[Área S1]],)</f>
        <v>17.010324909747293</v>
      </c>
      <c r="K20" s="102">
        <v>7295.21</v>
      </c>
      <c r="L20" s="85"/>
      <c r="M20" s="85">
        <v>491</v>
      </c>
      <c r="N20" s="103">
        <f>IFERROR(T_Losas[[#This Row],[Peso P1]]/T_Losas[[#This Row],[Área P1]],)</f>
        <v>14.857861507128309</v>
      </c>
      <c r="O20" s="102">
        <v>5923.1038461538456</v>
      </c>
      <c r="P20" s="85"/>
      <c r="Q20" s="85">
        <v>491</v>
      </c>
      <c r="R20" s="103">
        <f>IFERROR(T_Losas[[#This Row],[Peso PT]]/T_Losas[[#This Row],[Área PT]],)</f>
        <v>12.063347955506813</v>
      </c>
      <c r="S20" s="102">
        <v>6259.12</v>
      </c>
      <c r="T20" s="85"/>
      <c r="U20" s="85">
        <v>491</v>
      </c>
      <c r="V20" s="103">
        <f>IFERROR(T_Losas[[#This Row],[Peso PS]]/T_Losas[[#This Row],[Área PS]],)</f>
        <v>12.747698574338086</v>
      </c>
      <c r="W20" s="102">
        <v>138037.01999999999</v>
      </c>
      <c r="X20" s="85"/>
      <c r="Y20" s="85">
        <v>10475</v>
      </c>
      <c r="Z20" s="103">
        <f>IFERROR(T_Losas[[#This Row],[Peso]]/T_Losas[[#This Row],[Área]],)</f>
        <v>13.177758472553698</v>
      </c>
    </row>
    <row r="21" spans="1:26" x14ac:dyDescent="0.25">
      <c r="A21" s="94">
        <v>18044</v>
      </c>
      <c r="B21" s="96" t="s">
        <v>29</v>
      </c>
      <c r="C21" s="102"/>
      <c r="D21" s="85"/>
      <c r="E21" s="85"/>
      <c r="F21" s="103">
        <f>IFERROR(T_Losas[[#This Row],[Peso SI]]/T_Losas[[#This Row],[Area SI]],)</f>
        <v>0</v>
      </c>
      <c r="G21" s="102">
        <v>87138.06</v>
      </c>
      <c r="H21" s="85"/>
      <c r="I21" s="85">
        <v>4547.92</v>
      </c>
      <c r="J21" s="103">
        <f>IFERROR(T_Losas[[#This Row],[Peso S1]]/T_Losas[[#This Row],[Área S1]],)</f>
        <v>19.15998082639976</v>
      </c>
      <c r="K21" s="102">
        <v>18782.39</v>
      </c>
      <c r="L21" s="85"/>
      <c r="M21" s="85">
        <v>1772.16</v>
      </c>
      <c r="N21" s="103">
        <f>IFERROR(T_Losas[[#This Row],[Peso P1]]/T_Losas[[#This Row],[Área P1]],)</f>
        <v>10.598585906464427</v>
      </c>
      <c r="O21" s="102">
        <v>18577.444285714286</v>
      </c>
      <c r="P21" s="85"/>
      <c r="Q21" s="85">
        <v>1594.944</v>
      </c>
      <c r="R21" s="103">
        <f>IFERROR(T_Losas[[#This Row],[Peso PT]]/T_Losas[[#This Row],[Área PT]],)</f>
        <v>11.647709440403103</v>
      </c>
      <c r="S21" s="102">
        <v>17740.66</v>
      </c>
      <c r="T21" s="85"/>
      <c r="U21" s="85">
        <v>1611.4680000000001</v>
      </c>
      <c r="V21" s="103">
        <f>IFERROR(T_Losas[[#This Row],[Peso PS]]/T_Losas[[#This Row],[Área PS]],)</f>
        <v>11.009005453412664</v>
      </c>
      <c r="W21" s="102">
        <v>387039.78</v>
      </c>
      <c r="X21" s="85"/>
      <c r="Y21" s="85">
        <v>30465.423999999992</v>
      </c>
      <c r="Z21" s="103">
        <f>IFERROR(T_Losas[[#This Row],[Peso]]/T_Losas[[#This Row],[Área]],)</f>
        <v>12.704230868410042</v>
      </c>
    </row>
    <row r="22" spans="1:26" x14ac:dyDescent="0.25">
      <c r="A22" s="94">
        <v>18057</v>
      </c>
      <c r="B22" s="96" t="s">
        <v>30</v>
      </c>
      <c r="C22" s="102">
        <v>15508.53</v>
      </c>
      <c r="D22" s="85"/>
      <c r="E22" s="85">
        <v>1209.6500000000001</v>
      </c>
      <c r="F22" s="103">
        <f>IFERROR(T_Losas[[#This Row],[Peso SI]]/T_Losas[[#This Row],[Area SI]],)</f>
        <v>12.820675401975778</v>
      </c>
      <c r="G22" s="102">
        <v>20174.66</v>
      </c>
      <c r="H22" s="85"/>
      <c r="I22" s="85">
        <v>1209.6500000000001</v>
      </c>
      <c r="J22" s="103">
        <f>IFERROR(T_Losas[[#This Row],[Peso S1]]/T_Losas[[#This Row],[Área S1]],)</f>
        <v>16.678096970197991</v>
      </c>
      <c r="K22" s="102">
        <v>6766.17</v>
      </c>
      <c r="L22" s="85"/>
      <c r="M22" s="85">
        <v>490.85999999999996</v>
      </c>
      <c r="N22" s="103">
        <f>IFERROR(T_Losas[[#This Row],[Peso P1]]/T_Losas[[#This Row],[Área P1]],)</f>
        <v>13.784317320620952</v>
      </c>
      <c r="O22" s="102">
        <v>6407.4258333333337</v>
      </c>
      <c r="P22" s="85"/>
      <c r="Q22" s="85">
        <v>490.85999999999996</v>
      </c>
      <c r="R22" s="103">
        <f>IFERROR(T_Losas[[#This Row],[Peso PT]]/T_Losas[[#This Row],[Área PT]],)</f>
        <v>13.053469081476051</v>
      </c>
      <c r="S22" s="102">
        <v>4715.08</v>
      </c>
      <c r="T22" s="85"/>
      <c r="U22" s="85">
        <v>329.16999999999996</v>
      </c>
      <c r="V22" s="103">
        <f>IFERROR(T_Losas[[#This Row],[Peso PS]]/T_Losas[[#This Row],[Área PS]],)</f>
        <v>14.324148616216545</v>
      </c>
      <c r="W22" s="102">
        <v>138130.07999999996</v>
      </c>
      <c r="X22" s="85"/>
      <c r="Y22" s="85">
        <v>10062.479999999998</v>
      </c>
      <c r="Z22" s="103">
        <f>IFERROR(T_Losas[[#This Row],[Peso]]/T_Losas[[#This Row],[Área]],)</f>
        <v>13.727240203210341</v>
      </c>
    </row>
    <row r="23" spans="1:26" x14ac:dyDescent="0.25">
      <c r="A23" s="94">
        <v>18063</v>
      </c>
      <c r="B23" s="96" t="s">
        <v>31</v>
      </c>
      <c r="C23" s="102">
        <v>14983.25</v>
      </c>
      <c r="D23" s="85"/>
      <c r="E23" s="85">
        <v>990.6</v>
      </c>
      <c r="F23" s="103">
        <f>IFERROR(T_Losas[[#This Row],[Peso SI]]/T_Losas[[#This Row],[Area SI]],)</f>
        <v>15.125429032909347</v>
      </c>
      <c r="G23" s="102">
        <v>15056.05</v>
      </c>
      <c r="H23" s="85"/>
      <c r="I23" s="85">
        <v>990.6</v>
      </c>
      <c r="J23" s="103">
        <f>IFERROR(T_Losas[[#This Row],[Peso S1]]/T_Losas[[#This Row],[Área S1]],)</f>
        <v>15.19891984655764</v>
      </c>
      <c r="K23" s="102">
        <v>6021.15</v>
      </c>
      <c r="L23" s="85"/>
      <c r="M23" s="85">
        <v>479.6</v>
      </c>
      <c r="N23" s="103">
        <f>IFERROR(T_Losas[[#This Row],[Peso P1]]/T_Losas[[#This Row],[Área P1]],)</f>
        <v>12.55452460383653</v>
      </c>
      <c r="O23" s="102">
        <v>8770.6880000000001</v>
      </c>
      <c r="P23" s="85"/>
      <c r="Q23" s="85">
        <v>629.29999999999995</v>
      </c>
      <c r="R23" s="103">
        <f>IFERROR(T_Losas[[#This Row],[Peso PT]]/T_Losas[[#This Row],[Área PT]],)</f>
        <v>13.937212776100431</v>
      </c>
      <c r="S23" s="102">
        <v>6910.07</v>
      </c>
      <c r="T23" s="85"/>
      <c r="U23" s="85">
        <v>585.1</v>
      </c>
      <c r="V23" s="103">
        <f>IFERROR(T_Losas[[#This Row],[Peso PS]]/T_Losas[[#This Row],[Área PS]],)</f>
        <v>11.810066655272601</v>
      </c>
      <c r="W23" s="102">
        <v>96586.21</v>
      </c>
      <c r="X23" s="85"/>
      <c r="Y23" s="85">
        <v>6889.3000000000011</v>
      </c>
      <c r="Z23" s="103">
        <f>IFERROR(T_Losas[[#This Row],[Peso]]/T_Losas[[#This Row],[Área]],)</f>
        <v>14.019742208932691</v>
      </c>
    </row>
    <row r="24" spans="1:26" x14ac:dyDescent="0.25">
      <c r="A24" s="94">
        <v>18072</v>
      </c>
      <c r="B24" s="96" t="s">
        <v>32</v>
      </c>
      <c r="C24" s="102">
        <v>62625.75</v>
      </c>
      <c r="D24" s="85"/>
      <c r="E24" s="85">
        <v>3654</v>
      </c>
      <c r="F24" s="103">
        <f>IFERROR(T_Losas[[#This Row],[Peso SI]]/T_Losas[[#This Row],[Area SI]],)</f>
        <v>17.138957307060757</v>
      </c>
      <c r="G24" s="102">
        <v>31684.57</v>
      </c>
      <c r="H24" s="85"/>
      <c r="I24" s="85">
        <v>1827</v>
      </c>
      <c r="J24" s="103">
        <f>IFERROR(T_Losas[[#This Row],[Peso S1]]/T_Losas[[#This Row],[Área S1]],)</f>
        <v>17.342402846195949</v>
      </c>
      <c r="K24" s="102">
        <v>13127.650000000001</v>
      </c>
      <c r="L24" s="85"/>
      <c r="M24" s="85">
        <v>1002.82</v>
      </c>
      <c r="N24" s="103">
        <f>IFERROR(T_Losas[[#This Row],[Peso P1]]/T_Losas[[#This Row],[Área P1]],)</f>
        <v>13.090734129754095</v>
      </c>
      <c r="O24" s="102">
        <v>11659.475555555555</v>
      </c>
      <c r="P24" s="85"/>
      <c r="Q24" s="85">
        <v>910.36</v>
      </c>
      <c r="R24" s="103">
        <f>IFERROR(T_Losas[[#This Row],[Peso PT]]/T_Losas[[#This Row],[Área PT]],)</f>
        <v>12.807543779994239</v>
      </c>
      <c r="S24" s="102">
        <v>11782.05</v>
      </c>
      <c r="T24" s="85"/>
      <c r="U24" s="85">
        <v>910.36</v>
      </c>
      <c r="V24" s="103">
        <f>IFERROR(T_Losas[[#This Row],[Peso PS]]/T_Losas[[#This Row],[Área PS]],)</f>
        <v>12.942187705962475</v>
      </c>
      <c r="W24" s="102">
        <v>237687.37</v>
      </c>
      <c r="X24" s="85"/>
      <c r="Y24" s="85">
        <v>16629.78</v>
      </c>
      <c r="Z24" s="103">
        <f>IFERROR(T_Losas[[#This Row],[Peso]]/T_Losas[[#This Row],[Área]],)</f>
        <v>14.292875191373549</v>
      </c>
    </row>
    <row r="25" spans="1:26" x14ac:dyDescent="0.25">
      <c r="A25" s="94">
        <v>18081</v>
      </c>
      <c r="B25" s="96" t="s">
        <v>33</v>
      </c>
      <c r="C25" s="102">
        <v>30275.29</v>
      </c>
      <c r="D25" s="85"/>
      <c r="E25" s="85">
        <v>1994</v>
      </c>
      <c r="F25" s="103">
        <f>IFERROR(T_Losas[[#This Row],[Peso SI]]/T_Losas[[#This Row],[Area SI]],)</f>
        <v>15.183194583751254</v>
      </c>
      <c r="G25" s="102">
        <v>35312.839999999997</v>
      </c>
      <c r="H25" s="85"/>
      <c r="I25" s="85">
        <v>1995</v>
      </c>
      <c r="J25" s="103">
        <f>IFERROR(T_Losas[[#This Row],[Peso S1]]/T_Losas[[#This Row],[Área S1]],)</f>
        <v>17.700671679197992</v>
      </c>
      <c r="K25" s="102">
        <v>16598.189999999999</v>
      </c>
      <c r="L25" s="85"/>
      <c r="M25" s="85">
        <v>1219</v>
      </c>
      <c r="N25" s="103">
        <f>IFERROR(T_Losas[[#This Row],[Peso P1]]/T_Losas[[#This Row],[Área P1]],)</f>
        <v>13.616234618539785</v>
      </c>
      <c r="O25" s="102">
        <v>15413.429999999998</v>
      </c>
      <c r="P25" s="85"/>
      <c r="Q25" s="85">
        <v>1205</v>
      </c>
      <c r="R25" s="103">
        <f>IFERROR(T_Losas[[#This Row],[Peso PT]]/T_Losas[[#This Row],[Área PT]],)</f>
        <v>12.791228215767633</v>
      </c>
      <c r="S25" s="102">
        <v>14234.96</v>
      </c>
      <c r="T25" s="85"/>
      <c r="U25" s="85">
        <v>1205</v>
      </c>
      <c r="V25" s="103">
        <f>IFERROR(T_Losas[[#This Row],[Peso PS]]/T_Losas[[#This Row],[Área PS]],)</f>
        <v>11.813244813278008</v>
      </c>
      <c r="W25" s="102">
        <v>175014.68</v>
      </c>
      <c r="X25" s="85"/>
      <c r="Y25" s="85">
        <v>12588</v>
      </c>
      <c r="Z25" s="103">
        <f>IFERROR(T_Losas[[#This Row],[Peso]]/T_Losas[[#This Row],[Área]],)</f>
        <v>13.903295201779471</v>
      </c>
    </row>
    <row r="26" spans="1:26" x14ac:dyDescent="0.25">
      <c r="A26" s="94">
        <v>19006</v>
      </c>
      <c r="B26" s="96" t="s">
        <v>34</v>
      </c>
      <c r="C26" s="102">
        <v>17958.850000000002</v>
      </c>
      <c r="D26" s="85"/>
      <c r="E26" s="85">
        <v>1375</v>
      </c>
      <c r="F26" s="103">
        <f>IFERROR(T_Losas[[#This Row],[Peso SI]]/T_Losas[[#This Row],[Area SI]],)</f>
        <v>13.060981818181819</v>
      </c>
      <c r="G26" s="102">
        <v>20404.089999999997</v>
      </c>
      <c r="H26" s="85"/>
      <c r="I26" s="85">
        <v>1375</v>
      </c>
      <c r="J26" s="103">
        <f>IFERROR(T_Losas[[#This Row],[Peso S1]]/T_Losas[[#This Row],[Área S1]],)</f>
        <v>14.83933818181818</v>
      </c>
      <c r="K26" s="102">
        <v>13496.099999999999</v>
      </c>
      <c r="L26" s="85"/>
      <c r="M26" s="85">
        <v>928.37</v>
      </c>
      <c r="N26" s="103">
        <f>IFERROR(T_Losas[[#This Row],[Peso P1]]/T_Losas[[#This Row],[Área P1]],)</f>
        <v>14.537415039262362</v>
      </c>
      <c r="O26" s="102">
        <v>13357</v>
      </c>
      <c r="P26" s="85"/>
      <c r="Q26" s="85">
        <v>928.37</v>
      </c>
      <c r="R26" s="103">
        <f>IFERROR(T_Losas[[#This Row],[Peso PT]]/T_Losas[[#This Row],[Área PT]],)</f>
        <v>14.387582537134978</v>
      </c>
      <c r="S26" s="102">
        <v>11042.2</v>
      </c>
      <c r="T26" s="85"/>
      <c r="U26" s="85">
        <v>928.37</v>
      </c>
      <c r="V26" s="103">
        <f>IFERROR(T_Losas[[#This Row],[Peso PS]]/T_Losas[[#This Row],[Área PS]],)</f>
        <v>11.894180122149574</v>
      </c>
      <c r="W26" s="102">
        <v>131692.91000000003</v>
      </c>
      <c r="X26" s="85"/>
      <c r="Y26" s="85">
        <v>9305.61</v>
      </c>
      <c r="Z26" s="103">
        <f>IFERROR(T_Losas[[#This Row],[Peso]]/T_Losas[[#This Row],[Área]],)</f>
        <v>14.151991110738578</v>
      </c>
    </row>
    <row r="27" spans="1:26" x14ac:dyDescent="0.25">
      <c r="A27" s="94">
        <v>19009</v>
      </c>
      <c r="B27" s="96" t="s">
        <v>35</v>
      </c>
      <c r="C27" s="102">
        <v>36248.74</v>
      </c>
      <c r="D27" s="85"/>
      <c r="E27" s="85">
        <v>2571.66</v>
      </c>
      <c r="F27" s="103">
        <f>IFERROR(T_Losas[[#This Row],[Peso SI]]/T_Losas[[#This Row],[Area SI]],)</f>
        <v>14.095463630495477</v>
      </c>
      <c r="G27" s="102">
        <v>18905.75</v>
      </c>
      <c r="H27" s="85"/>
      <c r="I27" s="85">
        <v>1428.48</v>
      </c>
      <c r="J27" s="103">
        <f>IFERROR(T_Losas[[#This Row],[Peso S1]]/T_Losas[[#This Row],[Área S1]],)</f>
        <v>13.234872031810035</v>
      </c>
      <c r="K27" s="102">
        <v>10094.18</v>
      </c>
      <c r="L27" s="85"/>
      <c r="M27" s="85">
        <v>850.32</v>
      </c>
      <c r="N27" s="103">
        <f>IFERROR(T_Losas[[#This Row],[Peso P1]]/T_Losas[[#This Row],[Área P1]],)</f>
        <v>11.871036786151096</v>
      </c>
      <c r="O27" s="102">
        <v>11676.584285714285</v>
      </c>
      <c r="P27" s="85"/>
      <c r="Q27" s="85">
        <v>1015.6</v>
      </c>
      <c r="R27" s="103">
        <f>IFERROR(T_Losas[[#This Row],[Peso PT]]/T_Losas[[#This Row],[Área PT]],)</f>
        <v>11.497227536150339</v>
      </c>
      <c r="S27" s="102">
        <v>11811.3</v>
      </c>
      <c r="T27" s="85"/>
      <c r="U27" s="85">
        <v>1028.57</v>
      </c>
      <c r="V27" s="103">
        <f>IFERROR(T_Losas[[#This Row],[Peso PS]]/T_Losas[[#This Row],[Área PS]],)</f>
        <v>11.483224282255948</v>
      </c>
      <c r="W27" s="102">
        <v>160001.42000000001</v>
      </c>
      <c r="X27" s="85"/>
      <c r="Y27" s="85">
        <v>13084</v>
      </c>
      <c r="Z27" s="103">
        <f>IFERROR(T_Losas[[#This Row],[Peso]]/T_Losas[[#This Row],[Área]],)</f>
        <v>12.228784775298076</v>
      </c>
    </row>
    <row r="28" spans="1:26" x14ac:dyDescent="0.25">
      <c r="A28" s="94">
        <v>19014</v>
      </c>
      <c r="B28" s="96" t="s">
        <v>36</v>
      </c>
      <c r="C28" s="102">
        <v>35961.4</v>
      </c>
      <c r="D28" s="85"/>
      <c r="E28" s="85">
        <v>2813.22</v>
      </c>
      <c r="F28" s="103">
        <f>IFERROR(T_Losas[[#This Row],[Peso SI]]/T_Losas[[#This Row],[Area SI]],)</f>
        <v>12.783003106760226</v>
      </c>
      <c r="G28" s="102">
        <v>56500.75</v>
      </c>
      <c r="H28" s="85"/>
      <c r="I28" s="85">
        <v>2818.28</v>
      </c>
      <c r="J28" s="103">
        <f>IFERROR(T_Losas[[#This Row],[Peso S1]]/T_Losas[[#This Row],[Área S1]],)</f>
        <v>20.047954780930212</v>
      </c>
      <c r="K28" s="102">
        <v>8827.74</v>
      </c>
      <c r="L28" s="85"/>
      <c r="M28" s="85">
        <v>836.25</v>
      </c>
      <c r="N28" s="103">
        <f>IFERROR(T_Losas[[#This Row],[Peso P1]]/T_Losas[[#This Row],[Área P1]],)</f>
        <v>10.556340807174887</v>
      </c>
      <c r="O28" s="102">
        <v>9435.85</v>
      </c>
      <c r="P28" s="85"/>
      <c r="Q28" s="85">
        <v>748.33</v>
      </c>
      <c r="R28" s="103">
        <f>IFERROR(T_Losas[[#This Row],[Peso PT]]/T_Losas[[#This Row],[Área PT]],)</f>
        <v>12.609209840578353</v>
      </c>
      <c r="S28" s="102">
        <v>9551.1</v>
      </c>
      <c r="T28" s="85"/>
      <c r="U28" s="85">
        <v>748.42</v>
      </c>
      <c r="V28" s="103">
        <f>IFERROR(T_Losas[[#This Row],[Peso PS]]/T_Losas[[#This Row],[Área PS]],)</f>
        <v>12.761684615590179</v>
      </c>
      <c r="W28" s="102">
        <v>282714.17</v>
      </c>
      <c r="X28" s="85"/>
      <c r="Y28" s="85">
        <v>20819.580000000002</v>
      </c>
      <c r="Z28" s="103">
        <f>IFERROR(T_Losas[[#This Row],[Peso]]/T_Losas[[#This Row],[Área]],)</f>
        <v>13.57924463413767</v>
      </c>
    </row>
    <row r="29" spans="1:26" x14ac:dyDescent="0.25">
      <c r="A29" s="94">
        <v>19016</v>
      </c>
      <c r="B29" s="96" t="s">
        <v>37</v>
      </c>
      <c r="C29" s="102"/>
      <c r="D29" s="85"/>
      <c r="E29" s="85"/>
      <c r="F29" s="103">
        <f>IFERROR(T_Losas[[#This Row],[Peso SI]]/T_Losas[[#This Row],[Area SI]],)</f>
        <v>0</v>
      </c>
      <c r="G29" s="102">
        <v>21172.489999999998</v>
      </c>
      <c r="H29" s="85"/>
      <c r="I29" s="85">
        <v>1416.47</v>
      </c>
      <c r="J29" s="103">
        <f>IFERROR(T_Losas[[#This Row],[Peso S1]]/T_Losas[[#This Row],[Área S1]],)</f>
        <v>14.947362104386254</v>
      </c>
      <c r="K29" s="102">
        <v>9137.512200000001</v>
      </c>
      <c r="L29" s="85"/>
      <c r="M29" s="85">
        <v>763.49</v>
      </c>
      <c r="N29" s="103">
        <f>IFERROR(T_Losas[[#This Row],[Peso P1]]/T_Losas[[#This Row],[Área P1]],)</f>
        <v>11.9680836684174</v>
      </c>
      <c r="O29" s="102">
        <v>9105.4080833333337</v>
      </c>
      <c r="P29" s="85"/>
      <c r="Q29" s="85">
        <v>763.49</v>
      </c>
      <c r="R29" s="103">
        <f>IFERROR(T_Losas[[#This Row],[Peso PT]]/T_Losas[[#This Row],[Área PT]],)</f>
        <v>11.926034503835458</v>
      </c>
      <c r="S29" s="102">
        <v>9139.2800000000007</v>
      </c>
      <c r="T29" s="85"/>
      <c r="U29" s="85">
        <v>775.58</v>
      </c>
      <c r="V29" s="103">
        <f>IFERROR(T_Losas[[#This Row],[Peso PS]]/T_Losas[[#This Row],[Área PS]],)</f>
        <v>11.783800510585626</v>
      </c>
      <c r="W29" s="102">
        <v>95120.250000000015</v>
      </c>
      <c r="X29" s="85"/>
      <c r="Y29" s="85">
        <v>7712.49</v>
      </c>
      <c r="Z29" s="103">
        <f>IFERROR(T_Losas[[#This Row],[Peso]]/T_Losas[[#This Row],[Área]],)</f>
        <v>12.333273689820022</v>
      </c>
    </row>
    <row r="30" spans="1:26" x14ac:dyDescent="0.25">
      <c r="A30" s="94">
        <v>19051</v>
      </c>
      <c r="B30" s="96" t="s">
        <v>38</v>
      </c>
      <c r="C30" s="102"/>
      <c r="D30" s="85"/>
      <c r="E30" s="85"/>
      <c r="F30" s="103">
        <f>IFERROR(T_Losas[[#This Row],[Peso SI]]/T_Losas[[#This Row],[Area SI]],)</f>
        <v>0</v>
      </c>
      <c r="G30" s="102">
        <v>16719.32</v>
      </c>
      <c r="H30" s="85"/>
      <c r="I30" s="85">
        <v>1463.43</v>
      </c>
      <c r="J30" s="103">
        <f>IFERROR(T_Losas[[#This Row],[Peso S1]]/T_Losas[[#This Row],[Área S1]],)</f>
        <v>11.424748706805245</v>
      </c>
      <c r="K30" s="102">
        <v>6823.29</v>
      </c>
      <c r="L30" s="85"/>
      <c r="M30" s="85">
        <v>704.14</v>
      </c>
      <c r="N30" s="103">
        <f>IFERROR(T_Losas[[#This Row],[Peso P1]]/T_Losas[[#This Row],[Área P1]],)</f>
        <v>9.6902462578464519</v>
      </c>
      <c r="O30" s="102">
        <v>6823.29</v>
      </c>
      <c r="P30" s="85"/>
      <c r="Q30" s="85">
        <v>704.14</v>
      </c>
      <c r="R30" s="103">
        <f>IFERROR(T_Losas[[#This Row],[Peso PT]]/T_Losas[[#This Row],[Área PT]],)</f>
        <v>9.6902462578464519</v>
      </c>
      <c r="S30" s="102">
        <v>6894.21</v>
      </c>
      <c r="T30" s="85"/>
      <c r="U30" s="85">
        <v>704.3</v>
      </c>
      <c r="V30" s="103">
        <f>IFERROR(T_Losas[[#This Row],[Peso PS]]/T_Losas[[#This Row],[Área PS]],)</f>
        <v>9.7887405934970904</v>
      </c>
      <c r="W30" s="102">
        <v>51233.25</v>
      </c>
      <c r="X30" s="85"/>
      <c r="Y30" s="85">
        <v>5015.8999999999996</v>
      </c>
      <c r="Z30" s="103">
        <f>IFERROR(T_Losas[[#This Row],[Peso]]/T_Losas[[#This Row],[Área]],)</f>
        <v>10.214168942762017</v>
      </c>
    </row>
    <row r="31" spans="1:26" x14ac:dyDescent="0.25">
      <c r="A31" s="94">
        <v>20119</v>
      </c>
      <c r="B31" s="96" t="s">
        <v>39</v>
      </c>
      <c r="C31" s="102">
        <v>0</v>
      </c>
      <c r="D31" s="85">
        <v>0</v>
      </c>
      <c r="E31" s="85">
        <v>0</v>
      </c>
      <c r="F31" s="103">
        <f>IFERROR(T_Losas[[#This Row],[Peso SI]]/T_Losas[[#This Row],[Area SI]],)</f>
        <v>0</v>
      </c>
      <c r="G31" s="102">
        <v>18232.099999999999</v>
      </c>
      <c r="H31" s="85"/>
      <c r="I31" s="85">
        <v>1384.16</v>
      </c>
      <c r="J31" s="103">
        <f>IFERROR(T_Losas[[#This Row],[Peso S1]]/T_Losas[[#This Row],[Área S1]],)</f>
        <v>13.171959889030168</v>
      </c>
      <c r="K31" s="102">
        <v>18232.099999999999</v>
      </c>
      <c r="L31" s="85"/>
      <c r="M31" s="85">
        <v>1384.16</v>
      </c>
      <c r="N31" s="103">
        <f>IFERROR(T_Losas[[#This Row],[Peso P1]]/T_Losas[[#This Row],[Área P1]],)</f>
        <v>13.171959889030168</v>
      </c>
      <c r="O31" s="102">
        <v>18232.099999999999</v>
      </c>
      <c r="P31" s="85"/>
      <c r="Q31" s="85">
        <v>1384.16</v>
      </c>
      <c r="R31" s="103">
        <f>IFERROR(T_Losas[[#This Row],[Peso PT]]/T_Losas[[#This Row],[Área PT]],)</f>
        <v>13.171959889030168</v>
      </c>
      <c r="S31" s="102">
        <v>15194.4</v>
      </c>
      <c r="T31" s="85"/>
      <c r="U31" s="85">
        <v>1384.16</v>
      </c>
      <c r="V31" s="103">
        <f>IFERROR(T_Losas[[#This Row],[Peso PS]]/T_Losas[[#This Row],[Área PS]],)</f>
        <v>10.97734365969252</v>
      </c>
      <c r="W31" s="102">
        <v>144164.5</v>
      </c>
      <c r="X31" s="85"/>
      <c r="Y31" s="85">
        <v>12562.31</v>
      </c>
      <c r="Z31" s="103">
        <f>IFERROR(T_Losas[[#This Row],[Peso]]/T_Losas[[#This Row],[Área]],)</f>
        <v>11.475954661204826</v>
      </c>
    </row>
    <row r="32" spans="1:26" x14ac:dyDescent="0.25">
      <c r="A32" s="94">
        <v>20099</v>
      </c>
      <c r="B32" s="96" t="s">
        <v>40</v>
      </c>
      <c r="C32" s="102"/>
      <c r="D32" s="85"/>
      <c r="E32" s="85"/>
      <c r="F32" s="103">
        <f>IFERROR(T_Losas[[#This Row],[Peso SI]]/T_Losas[[#This Row],[Area SI]],)</f>
        <v>0</v>
      </c>
      <c r="G32" s="102"/>
      <c r="H32" s="85"/>
      <c r="I32" s="85"/>
      <c r="J32" s="103">
        <f>IFERROR(T_Losas[[#This Row],[Peso S1]]/T_Losas[[#This Row],[Área S1]],)</f>
        <v>0</v>
      </c>
      <c r="K32" s="102"/>
      <c r="L32" s="85"/>
      <c r="M32" s="85"/>
      <c r="N32" s="103">
        <f>IFERROR(T_Losas[[#This Row],[Peso P1]]/T_Losas[[#This Row],[Área P1]],)</f>
        <v>0</v>
      </c>
      <c r="O32" s="102"/>
      <c r="P32" s="85"/>
      <c r="Q32" s="85"/>
      <c r="R32" s="103">
        <f>IFERROR(T_Losas[[#This Row],[Peso PT]]/T_Losas[[#This Row],[Área PT]],)</f>
        <v>0</v>
      </c>
      <c r="S32" s="102"/>
      <c r="T32" s="85"/>
      <c r="U32" s="85"/>
      <c r="V32" s="103">
        <f>IFERROR(T_Losas[[#This Row],[Peso PS]]/T_Losas[[#This Row],[Área PS]],)</f>
        <v>0</v>
      </c>
      <c r="W32" s="102"/>
      <c r="X32" s="85"/>
      <c r="Y32" s="85"/>
      <c r="Z32" s="103">
        <f>IFERROR(T_Losas[[#This Row],[Peso]]/T_Losas[[#This Row],[Área]],)</f>
        <v>0</v>
      </c>
    </row>
    <row r="33" spans="1:26" ht="15.75" thickBot="1" x14ac:dyDescent="0.3">
      <c r="A33" s="97">
        <v>21001</v>
      </c>
      <c r="B33" s="98" t="s">
        <v>112</v>
      </c>
      <c r="C33" s="105"/>
      <c r="D33" s="106"/>
      <c r="E33" s="106"/>
      <c r="F33" s="107">
        <f>IFERROR(T_Losas[[#This Row],[Peso SI]]/T_Losas[[#This Row],[Area SI]],)</f>
        <v>0</v>
      </c>
      <c r="G33" s="105">
        <v>17520.720433357386</v>
      </c>
      <c r="H33" s="106"/>
      <c r="I33" s="106"/>
      <c r="J33" s="107">
        <f>IFERROR(T_Losas[[#This Row],[Peso S1]]/T_Losas[[#This Row],[Área S1]],)</f>
        <v>0</v>
      </c>
      <c r="K33" s="105"/>
      <c r="L33" s="106"/>
      <c r="M33" s="106"/>
      <c r="N33" s="107">
        <f>IFERROR(T_Losas[[#This Row],[Peso P1]]/T_Losas[[#This Row],[Área P1]],)</f>
        <v>0</v>
      </c>
      <c r="O33" s="105"/>
      <c r="P33" s="106"/>
      <c r="Q33" s="106"/>
      <c r="R33" s="107">
        <f>IFERROR(T_Losas[[#This Row],[Peso PT]]/T_Losas[[#This Row],[Área PT]],)</f>
        <v>0</v>
      </c>
      <c r="S33" s="105"/>
      <c r="T33" s="106"/>
      <c r="U33" s="106"/>
      <c r="V33" s="107">
        <f>IFERROR(T_Losas[[#This Row],[Peso PS]]/T_Losas[[#This Row],[Área PS]],)</f>
        <v>0</v>
      </c>
      <c r="W33" s="105"/>
      <c r="X33" s="106"/>
      <c r="Y33" s="106"/>
      <c r="Z33" s="107">
        <f>IFERROR(T_Losas[[#This Row],[Peso]]/T_Losas[[#This Row],[Área]],)</f>
        <v>0</v>
      </c>
    </row>
    <row r="34" spans="1:26" x14ac:dyDescent="0.25">
      <c r="A34" s="2"/>
      <c r="B34" s="3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x14ac:dyDescent="0.25">
      <c r="A35" s="2"/>
      <c r="B35" s="3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x14ac:dyDescent="0.25">
      <c r="A36" s="2"/>
      <c r="B36" s="3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x14ac:dyDescent="0.25">
      <c r="A37" s="2"/>
      <c r="B37" s="3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x14ac:dyDescent="0.25">
      <c r="A38" s="2"/>
      <c r="B38" s="3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x14ac:dyDescent="0.25">
      <c r="A39" s="2"/>
      <c r="B39" s="3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x14ac:dyDescent="0.25">
      <c r="A40" s="2"/>
      <c r="B40" s="3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</sheetData>
  <mergeCells count="7">
    <mergeCell ref="A1:B1"/>
    <mergeCell ref="S1:V1"/>
    <mergeCell ref="W1:Z1"/>
    <mergeCell ref="C1:F1"/>
    <mergeCell ref="G1:J1"/>
    <mergeCell ref="K1:N1"/>
    <mergeCell ref="O1:R1"/>
  </mergeCells>
  <conditionalFormatting sqref="A3:A33">
    <cfRule type="duplicateValues" dxfId="0" priority="1"/>
  </conditionalFormatting>
  <pageMargins left="0.7" right="0.7" top="0.75" bottom="0.75" header="0.3" footer="0.3"/>
  <pageSetup orientation="portrait" horizontalDpi="4294967293" verticalDpi="4294967293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09613E-FC88-49BD-B93E-CE3C09500FD4}">
  <dimension ref="A1:E10"/>
  <sheetViews>
    <sheetView workbookViewId="0">
      <selection activeCell="C12" sqref="C12"/>
    </sheetView>
  </sheetViews>
  <sheetFormatPr defaultColWidth="11.42578125" defaultRowHeight="15" x14ac:dyDescent="0.25"/>
  <cols>
    <col min="1" max="1" width="25.28515625" customWidth="1"/>
  </cols>
  <sheetData>
    <row r="1" spans="1:5" x14ac:dyDescent="0.25">
      <c r="A1" s="8" t="s">
        <v>113</v>
      </c>
      <c r="B1" s="8"/>
      <c r="C1" s="8"/>
      <c r="D1" s="8"/>
      <c r="E1" s="8"/>
    </row>
    <row r="2" spans="1:5" x14ac:dyDescent="0.25">
      <c r="A2" s="8" t="s">
        <v>114</v>
      </c>
      <c r="B2" s="8"/>
      <c r="C2" s="8"/>
      <c r="D2" s="8"/>
      <c r="E2" s="8"/>
    </row>
    <row r="3" spans="1:5" x14ac:dyDescent="0.25">
      <c r="A3" s="8"/>
      <c r="B3" s="8"/>
      <c r="C3" s="8"/>
      <c r="D3" s="8"/>
      <c r="E3" s="8"/>
    </row>
    <row r="4" spans="1:5" x14ac:dyDescent="0.25">
      <c r="A4" s="8"/>
      <c r="B4" s="9" t="s">
        <v>115</v>
      </c>
      <c r="C4" s="9" t="s">
        <v>116</v>
      </c>
      <c r="D4" s="9" t="s">
        <v>117</v>
      </c>
      <c r="E4" s="9" t="s">
        <v>118</v>
      </c>
    </row>
    <row r="5" spans="1:5" x14ac:dyDescent="0.25">
      <c r="A5" s="10" t="s">
        <v>119</v>
      </c>
      <c r="B5" s="11" t="s">
        <v>120</v>
      </c>
      <c r="C5" s="12" t="s">
        <v>121</v>
      </c>
      <c r="D5" s="13" t="s">
        <v>122</v>
      </c>
      <c r="E5" s="13" t="s">
        <v>123</v>
      </c>
    </row>
    <row r="6" spans="1:5" x14ac:dyDescent="0.25">
      <c r="A6" s="10" t="s">
        <v>124</v>
      </c>
      <c r="B6" s="14" t="s">
        <v>125</v>
      </c>
      <c r="C6" s="15" t="s">
        <v>126</v>
      </c>
      <c r="D6" s="15" t="s">
        <v>127</v>
      </c>
      <c r="E6" s="15" t="s">
        <v>128</v>
      </c>
    </row>
    <row r="7" spans="1:5" x14ac:dyDescent="0.25">
      <c r="A7" s="10" t="s">
        <v>129</v>
      </c>
      <c r="B7" s="16" t="s">
        <v>130</v>
      </c>
      <c r="C7" s="17" t="s">
        <v>131</v>
      </c>
      <c r="D7" s="17" t="s">
        <v>132</v>
      </c>
      <c r="E7" s="17" t="s">
        <v>132</v>
      </c>
    </row>
    <row r="8" spans="1:5" x14ac:dyDescent="0.25">
      <c r="A8" s="10" t="s">
        <v>133</v>
      </c>
      <c r="B8" s="18" t="s">
        <v>134</v>
      </c>
      <c r="C8" s="13" t="s">
        <v>134</v>
      </c>
      <c r="D8" s="13" t="s">
        <v>134</v>
      </c>
      <c r="E8" s="13" t="s">
        <v>134</v>
      </c>
    </row>
    <row r="9" spans="1:5" ht="16.5" thickBot="1" x14ac:dyDescent="0.3">
      <c r="A9" s="19" t="s">
        <v>135</v>
      </c>
      <c r="B9" s="20" t="s">
        <v>136</v>
      </c>
      <c r="C9" s="21" t="s">
        <v>137</v>
      </c>
      <c r="D9" s="21" t="s">
        <v>138</v>
      </c>
      <c r="E9" s="21" t="s">
        <v>139</v>
      </c>
    </row>
    <row r="10" spans="1:5" ht="15.75" thickBot="1" x14ac:dyDescent="0.3">
      <c r="C10" s="119" t="s">
        <v>140</v>
      </c>
      <c r="D10" s="120"/>
      <c r="E10" s="121"/>
    </row>
  </sheetData>
  <mergeCells count="1">
    <mergeCell ref="C10:E10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2EB8F2-2DE7-4741-B685-D8BA7EA72940}">
  <dimension ref="A1"/>
  <sheetViews>
    <sheetView workbookViewId="0"/>
  </sheetViews>
  <sheetFormatPr defaultColWidth="11.42578125" defaultRowHeight="15" x14ac:dyDescent="0.25"/>
  <cols>
    <col min="1" max="1" width="5.5703125" bestFit="1" customWidth="1"/>
    <col min="2" max="2" width="9.85546875" bestFit="1" customWidth="1"/>
  </cols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�� 
</file>

<file path=customXml/item2.xml>�� 
</file>

<file path=customXml/item3.xml>�� 
</file>

<file path=customXml/itemProps1.xml><?xml version="1.0" encoding="utf-8"?>
<ds:datastoreItem xmlns:ds="http://schemas.openxmlformats.org/officeDocument/2006/customXml" ds:itemID="{4A6D8635-C380-4ED7-A348-08A03DEAE6E2}">
  <ds:schemaRefs/>
</ds:datastoreItem>
</file>

<file path=customXml/itemProps2.xml><?xml version="1.0" encoding="utf-8"?>
<ds:datastoreItem xmlns:ds="http://schemas.openxmlformats.org/officeDocument/2006/customXml" ds:itemID="{617D9CC0-9DE8-4051-B1FF-995508598AB5}">
  <ds:schemaRefs/>
</ds:datastoreItem>
</file>

<file path=customXml/itemProps3.xml><?xml version="1.0" encoding="utf-8"?>
<ds:datastoreItem xmlns:ds="http://schemas.openxmlformats.org/officeDocument/2006/customXml" ds:itemID="{21A06484-F123-45AF-9CA4-35CC0584B137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Informacion</vt:lpstr>
      <vt:lpstr>HA</vt:lpstr>
      <vt:lpstr>Fe</vt:lpstr>
      <vt:lpstr>MLD</vt:lpstr>
      <vt:lpstr>Losas</vt:lpstr>
      <vt:lpstr>Rangos</vt:lpstr>
      <vt:lpstr>Análisis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Christian Lara</dc:creator>
  <cp:lastModifiedBy>Gabriel Jordan</cp:lastModifiedBy>
  <dcterms:created xsi:type="dcterms:W3CDTF">2022-08-08T16:18:23Z</dcterms:created>
  <dcterms:modified xsi:type="dcterms:W3CDTF">2022-12-18T00:07:56Z</dcterms:modified>
</cp:coreProperties>
</file>